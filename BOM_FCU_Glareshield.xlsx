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obiFlight\FCU Mainboard\"/>
    </mc:Choice>
  </mc:AlternateContent>
  <xr:revisionPtr revIDLastSave="0" documentId="13_ncr:1_{33DEDA5E-96AE-492E-8B51-6771591C309F}" xr6:coauthVersionLast="47" xr6:coauthVersionMax="47" xr10:uidLastSave="{00000000-0000-0000-0000-000000000000}"/>
  <bookViews>
    <workbookView xWindow="1125" yWindow="1125" windowWidth="38700" windowHeight="15345" xr2:uid="{00000000-000D-0000-FFFF-FFFF00000000}"/>
  </bookViews>
  <sheets>
    <sheet name="Lista acquisti" sheetId="1" r:id="rId1"/>
    <sheet name="Mainboard" sheetId="2" r:id="rId2"/>
    <sheet name="PSU" sheetId="3" r:id="rId3"/>
    <sheet name="Dimmer" sheetId="4" r:id="rId4"/>
    <sheet name="LEDModule" sheetId="5" r:id="rId5"/>
    <sheet name="Korry Large" sheetId="6" r:id="rId6"/>
    <sheet name="Korry Small" sheetId="7" r:id="rId7"/>
  </sheets>
  <definedNames>
    <definedName name="_xlnm._FilterDatabase" localSheetId="0" hidden="1">'Lista acquisti'!$A$6:$Q$60</definedName>
  </definedNames>
  <calcPr calcId="181029"/>
</workbook>
</file>

<file path=xl/calcChain.xml><?xml version="1.0" encoding="utf-8"?>
<calcChain xmlns="http://schemas.openxmlformats.org/spreadsheetml/2006/main">
  <c r="C10" i="7" l="1"/>
  <c r="C10" i="6"/>
  <c r="C6" i="5"/>
  <c r="C16" i="4"/>
  <c r="C19" i="3"/>
  <c r="C90" i="2"/>
  <c r="M60" i="1"/>
  <c r="P60" i="1" s="1"/>
  <c r="M59" i="1"/>
  <c r="P59" i="1" s="1"/>
  <c r="M58" i="1"/>
  <c r="P58" i="1" s="1"/>
  <c r="M57" i="1"/>
  <c r="P57" i="1" s="1"/>
  <c r="M56" i="1"/>
  <c r="P56" i="1" s="1"/>
  <c r="M55" i="1"/>
  <c r="P55" i="1" s="1"/>
  <c r="M54" i="1"/>
  <c r="P54" i="1" s="1"/>
  <c r="M53" i="1"/>
  <c r="P53" i="1" s="1"/>
  <c r="M52" i="1"/>
  <c r="P52" i="1" s="1"/>
  <c r="M51" i="1"/>
  <c r="P51" i="1" s="1"/>
  <c r="M50" i="1"/>
  <c r="P50" i="1" s="1"/>
  <c r="M49" i="1"/>
  <c r="P49" i="1" s="1"/>
  <c r="M48" i="1"/>
  <c r="P48" i="1" s="1"/>
  <c r="M47" i="1"/>
  <c r="P47" i="1" s="1"/>
  <c r="M46" i="1"/>
  <c r="P46" i="1" s="1"/>
  <c r="M45" i="1"/>
  <c r="P45" i="1" s="1"/>
  <c r="M44" i="1"/>
  <c r="P44" i="1" s="1"/>
  <c r="M43" i="1"/>
  <c r="P43" i="1" s="1"/>
  <c r="M42" i="1"/>
  <c r="P42" i="1" s="1"/>
  <c r="M41" i="1"/>
  <c r="P41" i="1" s="1"/>
  <c r="M40" i="1"/>
  <c r="P40" i="1" s="1"/>
  <c r="M39" i="1"/>
  <c r="P39" i="1" s="1"/>
  <c r="M38" i="1"/>
  <c r="P38" i="1" s="1"/>
  <c r="M37" i="1"/>
  <c r="P37" i="1" s="1"/>
  <c r="M36" i="1"/>
  <c r="P36" i="1" s="1"/>
  <c r="M35" i="1"/>
  <c r="P35" i="1" s="1"/>
  <c r="M34" i="1"/>
  <c r="P34" i="1" s="1"/>
  <c r="M33" i="1"/>
  <c r="P33" i="1" s="1"/>
  <c r="M32" i="1"/>
  <c r="P32" i="1" s="1"/>
  <c r="M31" i="1"/>
  <c r="P31" i="1" s="1"/>
  <c r="M30" i="1"/>
  <c r="P30" i="1" s="1"/>
  <c r="M29" i="1"/>
  <c r="P29" i="1" s="1"/>
  <c r="M28" i="1"/>
  <c r="P28" i="1" s="1"/>
  <c r="M27" i="1"/>
  <c r="P27" i="1" s="1"/>
  <c r="M26" i="1"/>
  <c r="P26" i="1" s="1"/>
  <c r="M25" i="1"/>
  <c r="P25" i="1" s="1"/>
  <c r="M24" i="1"/>
  <c r="P24" i="1" s="1"/>
  <c r="M23" i="1"/>
  <c r="P23" i="1" s="1"/>
  <c r="M22" i="1"/>
  <c r="P22" i="1" s="1"/>
  <c r="M21" i="1"/>
  <c r="P21" i="1" s="1"/>
  <c r="M20" i="1"/>
  <c r="P20" i="1" s="1"/>
  <c r="M19" i="1"/>
  <c r="P19" i="1" s="1"/>
  <c r="M18" i="1"/>
  <c r="P18" i="1" s="1"/>
  <c r="M17" i="1"/>
  <c r="P17" i="1" s="1"/>
  <c r="M16" i="1"/>
  <c r="P16" i="1" s="1"/>
  <c r="M15" i="1"/>
  <c r="P15" i="1" s="1"/>
  <c r="M14" i="1"/>
  <c r="P14" i="1" s="1"/>
  <c r="M13" i="1"/>
  <c r="P13" i="1" s="1"/>
  <c r="M12" i="1"/>
  <c r="P12" i="1" s="1"/>
  <c r="M11" i="1"/>
  <c r="P11" i="1" s="1"/>
  <c r="M10" i="1"/>
  <c r="P10" i="1" s="1"/>
  <c r="M9" i="1"/>
  <c r="M8" i="1"/>
  <c r="P8" i="1" s="1"/>
  <c r="M7" i="1"/>
  <c r="P7" i="1" s="1"/>
  <c r="M61" i="1" l="1"/>
  <c r="P9" i="1"/>
  <c r="P61" i="1" s="1"/>
</calcChain>
</file>

<file path=xl/sharedStrings.xml><?xml version="1.0" encoding="utf-8"?>
<sst xmlns="http://schemas.openxmlformats.org/spreadsheetml/2006/main" count="936" uniqueCount="493">
  <si>
    <t>BOM — FCU / Glareshield A320</t>
  </si>
  <si>
    <t>Quantita' per una unita' completa. Le celle gialle sono da compilare: cambia il numero di schede o quante parti hai gia', e i totali si aggiornano.  |  Fornitore: UE = acquisto intra-UE, nessuna dogana (TME in Polonia, Reichelt in Germania). Cina = obbliga un ordine extra-UE.</t>
  </si>
  <si>
    <t>Schede da costruire →</t>
  </si>
  <si>
    <t>Categoria</t>
  </si>
  <si>
    <t>Componente</t>
  </si>
  <si>
    <t>Valore / Codice</t>
  </si>
  <si>
    <t>Montaggio</t>
  </si>
  <si>
    <t>Package</t>
  </si>
  <si>
    <t>Dettagli tecnici</t>
  </si>
  <si>
    <t>Mainboard</t>
  </si>
  <si>
    <t>PSU</t>
  </si>
  <si>
    <t>Dimmer</t>
  </si>
  <si>
    <t>LEDModule</t>
  </si>
  <si>
    <t>Korry Large</t>
  </si>
  <si>
    <t>Korry Small</t>
  </si>
  <si>
    <t>Totale</t>
  </si>
  <si>
    <t>Fornitore</t>
  </si>
  <si>
    <t>Ce l'ho</t>
  </si>
  <si>
    <t>Da ordinare</t>
  </si>
  <si>
    <t>Note</t>
  </si>
  <si>
    <t>Semiconduttore</t>
  </si>
  <si>
    <t>Convertitore USB-seriale</t>
  </si>
  <si>
    <t>CH340G</t>
  </si>
  <si>
    <t>SMD</t>
  </si>
  <si>
    <t>SOIC-16</t>
  </si>
  <si>
    <t>Richiede il quarzo da 12 MHz</t>
  </si>
  <si>
    <t>Cina</t>
  </si>
  <si>
    <t>Unico pezzo del BOM che obbliga a ordinare in Cina: TME non vende il chip nudo, solo moduli che lo contengono. Per i progetti futuri valutare il CH340C, stesso SOP-16 ma con oscillatore interno (da verificare sul datasheet)</t>
  </si>
  <si>
    <t>Diodo Schottky</t>
  </si>
  <si>
    <t>1N5822</t>
  </si>
  <si>
    <t>THT</t>
  </si>
  <si>
    <t>DO-201AD</t>
  </si>
  <si>
    <t>40 V, 3 A</t>
  </si>
  <si>
    <t>UE</t>
  </si>
  <si>
    <t>Diodo raddrizzatore</t>
  </si>
  <si>
    <t>1N4001</t>
  </si>
  <si>
    <t>DO-41</t>
  </si>
  <si>
    <t>50 V, 1 A</t>
  </si>
  <si>
    <t>MOSFET N logic-level</t>
  </si>
  <si>
    <t>IRLIZ44N</t>
  </si>
  <si>
    <t>TO-220F isolato</t>
  </si>
  <si>
    <t>Commutazione low-side della retroilluminazione</t>
  </si>
  <si>
    <t>Microcontrollore 8 bit</t>
  </si>
  <si>
    <t>ATmega2560-16AU</t>
  </si>
  <si>
    <t>TQFP-100 14 × 14 mm</t>
  </si>
  <si>
    <t>256 kB flash, 8 kB RAM</t>
  </si>
  <si>
    <t>Su AliExpress circolano ricondizionati: conviene DigiKey</t>
  </si>
  <si>
    <t>Multiplexer I²C 8 canali</t>
  </si>
  <si>
    <t>PCA9548APW</t>
  </si>
  <si>
    <t>TSSOP-24</t>
  </si>
  <si>
    <t>Pilota i 7 OLED, indirizzo 0x70</t>
  </si>
  <si>
    <t>Multiplexer analogico 16 canali</t>
  </si>
  <si>
    <t>CD74HC4067M</t>
  </si>
  <si>
    <t>SOIC-24W 7,5 mm</t>
  </si>
  <si>
    <t>Lettura dei pulsanti</t>
  </si>
  <si>
    <t>Regolatore LDO 3,3 V</t>
  </si>
  <si>
    <t>AMS1117-3.3</t>
  </si>
  <si>
    <t>SOT-223</t>
  </si>
  <si>
    <t>1 A. Alimenta mux I²C e OLED</t>
  </si>
  <si>
    <t>Regolatore switching modulo</t>
  </si>
  <si>
    <t>P78A05-1000</t>
  </si>
  <si>
    <t>SIP-3</t>
  </si>
  <si>
    <t>9 V → 5 V, 1 A. Sostituto pin-to-pin del 7805</t>
  </si>
  <si>
    <t>E' di CUI: su DigiKey ha tempi lunghi e sui distributori UE non si trova. Equivalente diretto reperibile in UE: RECOM R-78E5.0-1.0, stesso SIP-3 e stessa piedinatura</t>
  </si>
  <si>
    <t>Regolatore switching step-down</t>
  </si>
  <si>
    <t>LM2596S-5.0</t>
  </si>
  <si>
    <t>TO-263-5</t>
  </si>
  <si>
    <t>3 A, uscita 5 V, per retroilluminazione</t>
  </si>
  <si>
    <t>Selettore di alimentazione</t>
  </si>
  <si>
    <t>TPS2115APW</t>
  </si>
  <si>
    <t>TSSOP-8</t>
  </si>
  <si>
    <t>2,8–5,5 V, 1,25 A, commuta USB/esterno</t>
  </si>
  <si>
    <t>Timer</t>
  </si>
  <si>
    <t>NE555P</t>
  </si>
  <si>
    <t>DIP-8</t>
  </si>
  <si>
    <t>PWM del dimmer</t>
  </si>
  <si>
    <t>Quarzo</t>
  </si>
  <si>
    <t>Quarzo 4 pin</t>
  </si>
  <si>
    <t>12 MHz</t>
  </si>
  <si>
    <t>7,0 × 5,0 mm</t>
  </si>
  <si>
    <t>Per il CH340G</t>
  </si>
  <si>
    <t>16 MHz</t>
  </si>
  <si>
    <t>Per l'ATmega2560</t>
  </si>
  <si>
    <t>Induttore</t>
  </si>
  <si>
    <t>Induttore toroidale</t>
  </si>
  <si>
    <t>33 µH</t>
  </si>
  <si>
    <t>toroide D 10 × H 5 mm, passo 5,08 mm</t>
  </si>
  <si>
    <t>Per l'LM2596, ≥3 A di saturazione</t>
  </si>
  <si>
    <t>Il modello 3D nel progetto e' un 2100LL-1R0 da 1 µH, messo solo per l'ingombro: il valore da comprare e' 33 µH</t>
  </si>
  <si>
    <t>Protezione</t>
  </si>
  <si>
    <t>Polyfuse PTC ripristinabile</t>
  </si>
  <si>
    <t>MF-RHT050 (0,5 A)</t>
  </si>
  <si>
    <t>radiale</t>
  </si>
  <si>
    <t>Ramo 5 V mainboard</t>
  </si>
  <si>
    <t>MF-RHT200 (2 A)</t>
  </si>
  <si>
    <t>Ingresso 9 V</t>
  </si>
  <si>
    <t>Condensatore</t>
  </si>
  <si>
    <t>Ceramico MLCC</t>
  </si>
  <si>
    <t>10 µF</t>
  </si>
  <si>
    <t>1206</t>
  </si>
  <si>
    <t>X5R/X7R, ≥16 V</t>
  </si>
  <si>
    <t>100 nF</t>
  </si>
  <si>
    <t>X7R, ≥50 V. Disaccoppiamento</t>
  </si>
  <si>
    <t>22 pF</t>
  </si>
  <si>
    <t>C0G/NP0. Carico dei quarzi</t>
  </si>
  <si>
    <t>Ceramico a disco</t>
  </si>
  <si>
    <t>10 nF</t>
  </si>
  <si>
    <t>D 5 mm, passo 2,5 mm</t>
  </si>
  <si>
    <t>Pin CTRL del NE555</t>
  </si>
  <si>
    <t>≥50 V</t>
  </si>
  <si>
    <t>470 nF</t>
  </si>
  <si>
    <t>Rete RC del NE555</t>
  </si>
  <si>
    <t>Elettrolitico alluminio</t>
  </si>
  <si>
    <t>100 µF</t>
  </si>
  <si>
    <t>D 6,3 × H 7,7 mm</t>
  </si>
  <si>
    <t>≥16 V</t>
  </si>
  <si>
    <t>220 µF</t>
  </si>
  <si>
    <t>Elettrolitico radiale</t>
  </si>
  <si>
    <t>passo 2,5 mm</t>
  </si>
  <si>
    <t>Nello schema ha il footprint di un ceramico a disco: da 10 µF in ceramico a disco non esiste, prendere un elettrolitico</t>
  </si>
  <si>
    <t>D 6,3 mm, passo 2,5 mm</t>
  </si>
  <si>
    <t>Ingresso/uscita regolatori</t>
  </si>
  <si>
    <t>Tensione non indicata nello schema: prendere ≥16 V</t>
  </si>
  <si>
    <t>100 µF 25 V</t>
  </si>
  <si>
    <t>25 V da schema</t>
  </si>
  <si>
    <t>Uscita LM2596</t>
  </si>
  <si>
    <t>220 µF 16 V</t>
  </si>
  <si>
    <t>16 V da schema</t>
  </si>
  <si>
    <t>Resistore</t>
  </si>
  <si>
    <t>Film metallico 1/4 W</t>
  </si>
  <si>
    <t>1 kΩ</t>
  </si>
  <si>
    <t>assiale, passo 7,62 mm</t>
  </si>
  <si>
    <t>Rete del NE555</t>
  </si>
  <si>
    <t>5 kΩ</t>
  </si>
  <si>
    <t>5 kΩ non e' un valore E24: in pratica si usa 4,7 kΩ</t>
  </si>
  <si>
    <t>Film spesso 1%</t>
  </si>
  <si>
    <t>Serie UART CH340G</t>
  </si>
  <si>
    <t>1,5 kΩ</t>
  </si>
  <si>
    <t>Pull-up USB D+</t>
  </si>
  <si>
    <t>10 kΩ</t>
  </si>
  <si>
    <t>Pull-up / reset</t>
  </si>
  <si>
    <t>100 kΩ</t>
  </si>
  <si>
    <t>Partitore selettore alimentazione</t>
  </si>
  <si>
    <t>220 Ω</t>
  </si>
  <si>
    <t>Serie LED annunciator verde</t>
  </si>
  <si>
    <t>4,7 kΩ</t>
  </si>
  <si>
    <t>Pull-up I²C</t>
  </si>
  <si>
    <t>470 Ω</t>
  </si>
  <si>
    <t>Serie LED di presenza tensione</t>
  </si>
  <si>
    <t>620 Ω</t>
  </si>
  <si>
    <t>ILIM del TPS2115A</t>
  </si>
  <si>
    <t>91 Ω</t>
  </si>
  <si>
    <t>Serie LED retroilluminazione bianco</t>
  </si>
  <si>
    <t>LED</t>
  </si>
  <si>
    <t>LED SMD</t>
  </si>
  <si>
    <t>a scelta</t>
  </si>
  <si>
    <t>Presenza tensione sulla mainboard</t>
  </si>
  <si>
    <t>verde + bianco</t>
  </si>
  <si>
    <t>Uno verde (annunciator) e uno bianco (retroilluminazione) per scheda</t>
  </si>
  <si>
    <t>Per ogni Korry servono 1 verde e 1 bianco</t>
  </si>
  <si>
    <t>Elettromeccanica</t>
  </si>
  <si>
    <t>DIP switch 3 vie</t>
  </si>
  <si>
    <t>SPST ×3</t>
  </si>
  <si>
    <t>9,78 × 9,8 mm, passo 2,54 mm</t>
  </si>
  <si>
    <t>Indirizzo I²C del PCA9548A</t>
  </si>
  <si>
    <t>Pulsante tattile 6 × 3,5 mm</t>
  </si>
  <si>
    <t>APEM MJTP1243</t>
  </si>
  <si>
    <t>2 pioli, 6 × 3,5 × H 4,3 mm</t>
  </si>
  <si>
    <t>Korry piccolo</t>
  </si>
  <si>
    <t>Pulsante tattile 6 × 6 mm</t>
  </si>
  <si>
    <t>1825910-6</t>
  </si>
  <si>
    <t>4 pioli, 6 × 6 mm</t>
  </si>
  <si>
    <t>TE Connectivity, 0,05 A 24 V</t>
  </si>
  <si>
    <t>Connettore</t>
  </si>
  <si>
    <t>Morsettiera a vite 2 poli</t>
  </si>
  <si>
    <t>PT 1,5/2-5.0-H</t>
  </si>
  <si>
    <t>passo 5,00 mm, orizzontale</t>
  </si>
  <si>
    <t>Alimentazioni. Phoenix o equivalente cinese</t>
  </si>
  <si>
    <t>Presa USB tipo B</t>
  </si>
  <si>
    <t>USB-B passante</t>
  </si>
  <si>
    <t>orizzontale, con fori di fissaggio</t>
  </si>
  <si>
    <t>Same Sky UJ2-BH-1-TH o equivalente</t>
  </si>
  <si>
    <t>Strip maschio 1 × 2</t>
  </si>
  <si>
    <t>2 poli</t>
  </si>
  <si>
    <t>passo 2,54 mm, verticale</t>
  </si>
  <si>
    <t>Pulsanti push/pull</t>
  </si>
  <si>
    <t>Strip maschio 1 × 3</t>
  </si>
  <si>
    <t>3 poli</t>
  </si>
  <si>
    <t>Korry, encoder, deviatori</t>
  </si>
  <si>
    <t>Strip maschio 1 × 4</t>
  </si>
  <si>
    <t>4 poli</t>
  </si>
  <si>
    <t>OLED (3V3, GND, SCL, SDA)</t>
  </si>
  <si>
    <t>Strip maschio 1 × 6</t>
  </si>
  <si>
    <t>6 poli</t>
  </si>
  <si>
    <t>Bootloader ICSP, selettori MAP MODE</t>
  </si>
  <si>
    <t>Strip maschio 1 × 7</t>
  </si>
  <si>
    <t>7 poli</t>
  </si>
  <si>
    <t>Selettori MAP RANGE</t>
  </si>
  <si>
    <t>Strip maschio 2 × 10</t>
  </si>
  <si>
    <t>20 poli, doppia fila</t>
  </si>
  <si>
    <t>Uscite del LEDModule</t>
  </si>
  <si>
    <t>Totale pezzi</t>
  </si>
  <si>
    <t>BOM scheda — Mainboard   (ne servono 1)</t>
  </si>
  <si>
    <t>Riferimenti</t>
  </si>
  <si>
    <t>Valore</t>
  </si>
  <si>
    <t>Qta per scheda</t>
  </si>
  <si>
    <t>Footprint KiCad</t>
  </si>
  <si>
    <t>Descrizione da libreria</t>
  </si>
  <si>
    <t>C1-C9,C12,C15,C17,C19,C20,C22,C24-C26</t>
  </si>
  <si>
    <t>100nF</t>
  </si>
  <si>
    <t>Capacitor_SMD:C_1206_3216Metric_Pad1.33x1.80mm_HandSolder</t>
  </si>
  <si>
    <t>Unpolarized capacitor</t>
  </si>
  <si>
    <t>C10</t>
  </si>
  <si>
    <t>10uF</t>
  </si>
  <si>
    <t>C11,C13,C14,C16,C18</t>
  </si>
  <si>
    <t>22pF</t>
  </si>
  <si>
    <t>C21,C23</t>
  </si>
  <si>
    <t>100uF</t>
  </si>
  <si>
    <t>Capacitor_SMD:C_Elec_6.3x7.7</t>
  </si>
  <si>
    <t>Polarized capacitor</t>
  </si>
  <si>
    <t>C27</t>
  </si>
  <si>
    <t>220uF</t>
  </si>
  <si>
    <t>D1</t>
  </si>
  <si>
    <t>PWR</t>
  </si>
  <si>
    <t>LED_SMD:LED_1206_3216Metric_Pad1.42x1.75mm_HandSolder</t>
  </si>
  <si>
    <t>Light emitting diode</t>
  </si>
  <si>
    <t>I2C_1</t>
  </si>
  <si>
    <t>PCM_SFLibrary:SOP65P640X120-24N</t>
  </si>
  <si>
    <t>J1</t>
  </si>
  <si>
    <t>R_OLED</t>
  </si>
  <si>
    <t>Connector_PinHeader_2.54mm:PinHeader_1x04_P2.54mm_Vertical</t>
  </si>
  <si>
    <t>Generic connector, single row, 01x04, script generated (kicad-library-utils/schlib/autogen/connector/)</t>
  </si>
  <si>
    <t>J2</t>
  </si>
  <si>
    <t>L_OLED</t>
  </si>
  <si>
    <t>J3</t>
  </si>
  <si>
    <t>SPD_OLED</t>
  </si>
  <si>
    <t>J4</t>
  </si>
  <si>
    <t>HDG_OLED</t>
  </si>
  <si>
    <t>J5</t>
  </si>
  <si>
    <t>H_T_OLED</t>
  </si>
  <si>
    <t>J6</t>
  </si>
  <si>
    <t>APPR</t>
  </si>
  <si>
    <t>Connector_PinHeader_2.54mm:PinHeader_1x03_P2.54mm_Vertical</t>
  </si>
  <si>
    <t>Generic connector, single row, 01x03, script generated (kicad-library-utils/schlib/autogen/connector/)</t>
  </si>
  <si>
    <t>J7</t>
  </si>
  <si>
    <t>EXPED</t>
  </si>
  <si>
    <t>J8</t>
  </si>
  <si>
    <t>LOC</t>
  </si>
  <si>
    <t>J9</t>
  </si>
  <si>
    <t>A/THR</t>
  </si>
  <si>
    <t>J10</t>
  </si>
  <si>
    <t>AP2</t>
  </si>
  <si>
    <t>J11</t>
  </si>
  <si>
    <t>AP1</t>
  </si>
  <si>
    <t>J12</t>
  </si>
  <si>
    <t>BootLoader</t>
  </si>
  <si>
    <t>Connector_PinHeader_2.54mm:PinHeader_1x06_P2.54mm_Vertical</t>
  </si>
  <si>
    <t>Generic connector, single row, 01x06, script generated (kicad-library-utils/schlib/autogen/connector/)</t>
  </si>
  <si>
    <t>J13</t>
  </si>
  <si>
    <t>5V from PSU</t>
  </si>
  <si>
    <t>TerminalBlock_Phoenix:TerminalBlock_Phoenix_PT-1,5-2-5.0-H_1x02_P5.00mm_Horizontal</t>
  </si>
  <si>
    <t>Generic connector, single row, 01x02</t>
  </si>
  <si>
    <t>J14</t>
  </si>
  <si>
    <t>ALT_OLED</t>
  </si>
  <si>
    <t>J15</t>
  </si>
  <si>
    <t>VSPEED_OLED</t>
  </si>
  <si>
    <t>J16</t>
  </si>
  <si>
    <t>R_FD</t>
  </si>
  <si>
    <t>J17</t>
  </si>
  <si>
    <t>R_LS</t>
  </si>
  <si>
    <t>J18</t>
  </si>
  <si>
    <t>R_CSTR</t>
  </si>
  <si>
    <t>J19</t>
  </si>
  <si>
    <t>R_WPT</t>
  </si>
  <si>
    <t>J20</t>
  </si>
  <si>
    <t>R_VORD</t>
  </si>
  <si>
    <t>J21</t>
  </si>
  <si>
    <t>R_NDB</t>
  </si>
  <si>
    <t>J22</t>
  </si>
  <si>
    <t>R_ARPT</t>
  </si>
  <si>
    <t>J23</t>
  </si>
  <si>
    <t>LB_PULL</t>
  </si>
  <si>
    <t>Connector_PinHeader_2.54mm:PinHeader_1x02_P2.54mm_Vertical</t>
  </si>
  <si>
    <t>Generic connector, single row, 01x02, script generated (kicad-library-utils/schlib/autogen/connector/)</t>
  </si>
  <si>
    <t>J24</t>
  </si>
  <si>
    <t>LB_PUSH</t>
  </si>
  <si>
    <t>J25</t>
  </si>
  <si>
    <t>LB_hPa/inHg</t>
  </si>
  <si>
    <t>J26</t>
  </si>
  <si>
    <t>L_FD</t>
  </si>
  <si>
    <t>J27</t>
  </si>
  <si>
    <t>L_LS</t>
  </si>
  <si>
    <t>J28</t>
  </si>
  <si>
    <t>L_CSTR</t>
  </si>
  <si>
    <t>J29</t>
  </si>
  <si>
    <t>L_WPT</t>
  </si>
  <si>
    <t>J30</t>
  </si>
  <si>
    <t>SPD/MACH</t>
  </si>
  <si>
    <t>J31</t>
  </si>
  <si>
    <t>HDG/TRK</t>
  </si>
  <si>
    <t>J32</t>
  </si>
  <si>
    <t>MET_ALT</t>
  </si>
  <si>
    <t>J33</t>
  </si>
  <si>
    <t>LVL_OFF</t>
  </si>
  <si>
    <t>J34</t>
  </si>
  <si>
    <t>S_PUSH</t>
  </si>
  <si>
    <t>J35</t>
  </si>
  <si>
    <t>HDG_ENC</t>
  </si>
  <si>
    <t>J36</t>
  </si>
  <si>
    <t>RB_ENC</t>
  </si>
  <si>
    <t>J37</t>
  </si>
  <si>
    <t>H_PUSH</t>
  </si>
  <si>
    <t>J38</t>
  </si>
  <si>
    <t>RB_PULL</t>
  </si>
  <si>
    <t>J39</t>
  </si>
  <si>
    <t>RB_hPa/inHg</t>
  </si>
  <si>
    <t>J40</t>
  </si>
  <si>
    <t>L_VORD</t>
  </si>
  <si>
    <t>J41</t>
  </si>
  <si>
    <t>SPD_ENC</t>
  </si>
  <si>
    <t>J42</t>
  </si>
  <si>
    <t>ALT_ENC</t>
  </si>
  <si>
    <t>J43</t>
  </si>
  <si>
    <t>A_PUSH</t>
  </si>
  <si>
    <t>J44</t>
  </si>
  <si>
    <t>RB_PUSH</t>
  </si>
  <si>
    <t>J45</t>
  </si>
  <si>
    <t>A_1H_1K</t>
  </si>
  <si>
    <t>J46</t>
  </si>
  <si>
    <t>VS_ENC</t>
  </si>
  <si>
    <t>J47</t>
  </si>
  <si>
    <t>L_NDB</t>
  </si>
  <si>
    <t>J48</t>
  </si>
  <si>
    <t>VS_PUSH</t>
  </si>
  <si>
    <t>J49</t>
  </si>
  <si>
    <t>RVOR/ADF_1</t>
  </si>
  <si>
    <t>J50</t>
  </si>
  <si>
    <t>RVOR/ADF_2</t>
  </si>
  <si>
    <t>J51</t>
  </si>
  <si>
    <t>R_MAP_MODE</t>
  </si>
  <si>
    <t>J52</t>
  </si>
  <si>
    <t>L_ARPT</t>
  </si>
  <si>
    <t>J53</t>
  </si>
  <si>
    <t>R_MAP_RANGE</t>
  </si>
  <si>
    <t>Connector_PinHeader_2.54mm:PinHeader_1x07_P2.54mm_Vertical</t>
  </si>
  <si>
    <t>Generic connector, single row, 01x07, script generated (kicad-library-utils/schlib/autogen/connector/)</t>
  </si>
  <si>
    <t>J54</t>
  </si>
  <si>
    <t>L_MAP_MODE</t>
  </si>
  <si>
    <t>J55</t>
  </si>
  <si>
    <t>L_MAP_RANGE</t>
  </si>
  <si>
    <t>J56</t>
  </si>
  <si>
    <t>LB_ENC</t>
  </si>
  <si>
    <t>J57</t>
  </si>
  <si>
    <t>LVOR/ADF_1</t>
  </si>
  <si>
    <t>J58</t>
  </si>
  <si>
    <t>LVOR/ADF_2</t>
  </si>
  <si>
    <t>J69</t>
  </si>
  <si>
    <t>S_PULL</t>
  </si>
  <si>
    <t>J70</t>
  </si>
  <si>
    <t>H_PULL</t>
  </si>
  <si>
    <t>J71</t>
  </si>
  <si>
    <t>A_PULL</t>
  </si>
  <si>
    <t>J72</t>
  </si>
  <si>
    <t>VS_PULL</t>
  </si>
  <si>
    <t>JP1</t>
  </si>
  <si>
    <t>Power Selector</t>
  </si>
  <si>
    <t>P1</t>
  </si>
  <si>
    <t>USB_B</t>
  </si>
  <si>
    <t>Connector_USB:USB_B_OST_USB-B1HSxx_Horizontal</t>
  </si>
  <si>
    <t>USB Type B connector</t>
  </si>
  <si>
    <t>R1-R6,R21-R30</t>
  </si>
  <si>
    <t>4.7K</t>
  </si>
  <si>
    <t>Resistor_SMD:R_1206_3216Metric_Pad1.30x1.75mm_HandSolder</t>
  </si>
  <si>
    <t>Resistor</t>
  </si>
  <si>
    <t>R7-R10,R17-R20,R31</t>
  </si>
  <si>
    <t>10K</t>
  </si>
  <si>
    <t>R11</t>
  </si>
  <si>
    <t>220</t>
  </si>
  <si>
    <t>R12,R13</t>
  </si>
  <si>
    <t>1K</t>
  </si>
  <si>
    <t>R14</t>
  </si>
  <si>
    <t>1.5K</t>
  </si>
  <si>
    <t>R32,R33</t>
  </si>
  <si>
    <t>100k</t>
  </si>
  <si>
    <t>R34</t>
  </si>
  <si>
    <t>620</t>
  </si>
  <si>
    <t>SW1</t>
  </si>
  <si>
    <t>SW_DIP_x03</t>
  </si>
  <si>
    <t>Button_Switch_THT:SW_DIP_SPSTx03_Slide_9.78x9.8mm_W7.62mm_P2.54mm</t>
  </si>
  <si>
    <t>3x DIP Switch, Single Pole Single Throw (SPST) switch, small symbol</t>
  </si>
  <si>
    <t>U1-U4</t>
  </si>
  <si>
    <t>Package_SO:SOIC-24W_7.5x15.4mm_P1.27mm</t>
  </si>
  <si>
    <t>High-Speed CMOS Logic 16-Channel Analog Multiplexer/Demultiplexer, SOIC-24</t>
  </si>
  <si>
    <t>U5</t>
  </si>
  <si>
    <t>ATMega2560</t>
  </si>
  <si>
    <t>PCM_SFLibrary:TQFP100-0.5-14X14MM</t>
  </si>
  <si>
    <t>16MHz, 256kB Flash, 8kB SRAM, 4kB EEPROM, JTAG, TQFP-100</t>
  </si>
  <si>
    <t>U6</t>
  </si>
  <si>
    <t>Package_SO:SOIC-16_3.9x9.9mm_P1.27mm</t>
  </si>
  <si>
    <t>USB serial converter, UART, SOIC-16</t>
  </si>
  <si>
    <t>U7</t>
  </si>
  <si>
    <t>Package_TO_SOT_SMD:SOT-223-3_TabPin2</t>
  </si>
  <si>
    <t>1A Low Dropout regulator, positive, 3.3V fixed output, SOT-223</t>
  </si>
  <si>
    <t>U8</t>
  </si>
  <si>
    <t>TPS2115A</t>
  </si>
  <si>
    <t>Package_SO:TSSOP-8_4.4x3mm_P0.65mm</t>
  </si>
  <si>
    <t>Autoswitching power mux, two inputs one output, 2.8-5.5V, 1.25A, adjustable current limit, TSSOP-8</t>
  </si>
  <si>
    <t>XT12MHz1</t>
  </si>
  <si>
    <t>12MHz</t>
  </si>
  <si>
    <t>Crystal:Crystal_SMD_EuroQuartz_MQ-4Pin_7.0x5.0mm_HandSoldering</t>
  </si>
  <si>
    <t>Four pin crystal, GND on pins 2 and 4</t>
  </si>
  <si>
    <t>XT16MHz1</t>
  </si>
  <si>
    <t>16MHz</t>
  </si>
  <si>
    <t>Totale componenti</t>
  </si>
  <si>
    <t>BOM scheda — PSU   (ne servono 1)</t>
  </si>
  <si>
    <t>C1</t>
  </si>
  <si>
    <t>100uF/25V</t>
  </si>
  <si>
    <t>Capacitor_THT:CP_Radial_D6.3mm_P2.50mm</t>
  </si>
  <si>
    <t>C2</t>
  </si>
  <si>
    <t>220uF/16V</t>
  </si>
  <si>
    <t>C4</t>
  </si>
  <si>
    <t>C5,C7</t>
  </si>
  <si>
    <t>C6,C8</t>
  </si>
  <si>
    <t>Diode_THT:D_DO-201AD_P12.70mm_Horizontal</t>
  </si>
  <si>
    <t>40V 3A Schottky Barrier Rectifier Diode, DO-201AD</t>
  </si>
  <si>
    <t>D2</t>
  </si>
  <si>
    <t>Diode_THT:D_DO-201AD_P5.08mm_Vertical_CathodeUp</t>
  </si>
  <si>
    <t>F2</t>
  </si>
  <si>
    <t>2A</t>
  </si>
  <si>
    <t>Fuse:Fuse_Bourns_MF-RHT200</t>
  </si>
  <si>
    <t>Resettable fuse, polymeric positive temperature coefficient</t>
  </si>
  <si>
    <t>F3</t>
  </si>
  <si>
    <t>0.5A</t>
  </si>
  <si>
    <t>Fuse:Fuse_Bourns_MF-RHT050</t>
  </si>
  <si>
    <t>J1-J5</t>
  </si>
  <si>
    <t>Screw_Terminal_2_P5.00mm</t>
  </si>
  <si>
    <t>Generic screw terminal, 2 pins</t>
  </si>
  <si>
    <t>L1</t>
  </si>
  <si>
    <t>33uH</t>
  </si>
  <si>
    <t>Inductor_THT:L_Toroid_Vertical_L10.0mm_W5.0mm_P5.08mm</t>
  </si>
  <si>
    <t>Inductor</t>
  </si>
  <si>
    <t>LED1-LED3</t>
  </si>
  <si>
    <t>LED_1206</t>
  </si>
  <si>
    <t>PCM_LED_SMD_AKL:LED_1206_3216Metric</t>
  </si>
  <si>
    <t>SMD LED, 1206, Alternate KiCad Library</t>
  </si>
  <si>
    <t>R1-R3</t>
  </si>
  <si>
    <t>470</t>
  </si>
  <si>
    <t>U1</t>
  </si>
  <si>
    <t>Custom_Footprints:CONV_P78A05-1000</t>
  </si>
  <si>
    <t>Switching regulator 9V -&gt; 5V, 1A, SIP-3</t>
  </si>
  <si>
    <t>U4</t>
  </si>
  <si>
    <t>LM2596S-5</t>
  </si>
  <si>
    <t>Package_TO_SOT_SMD:TO-263-5_TabPin3</t>
  </si>
  <si>
    <t>5V 3A Step-Down Voltage Regulator, TO-263</t>
  </si>
  <si>
    <t>BOM scheda — Dimmer   (ne servono 1)</t>
  </si>
  <si>
    <t>470nF</t>
  </si>
  <si>
    <t>Capacitor_THT:C_Disc_D5.0mm_W2.5mm_P2.50mm</t>
  </si>
  <si>
    <t>10nF</t>
  </si>
  <si>
    <t>C3</t>
  </si>
  <si>
    <t>D1,D2</t>
  </si>
  <si>
    <t>Diode_THT:D_DO-41_SOD81_P10.16mm_Horizontal</t>
  </si>
  <si>
    <t>J12-J14</t>
  </si>
  <si>
    <t>BOARD_CONN</t>
  </si>
  <si>
    <t>Backlighting POT</t>
  </si>
  <si>
    <t>Screw_Terminal_01x02</t>
  </si>
  <si>
    <t>Q1</t>
  </si>
  <si>
    <t>Package_TO_SOT_THT:TO-220F-3_Vertical</t>
  </si>
  <si>
    <t>R1</t>
  </si>
  <si>
    <t>Resistor_THT:R_Axial_DIN0207_L6.3mm_D2.5mm_P7.62mm_Horizontal</t>
  </si>
  <si>
    <t>R2</t>
  </si>
  <si>
    <t>5K</t>
  </si>
  <si>
    <t>digikey-footprints:DIP-8_W7.62mm</t>
  </si>
  <si>
    <t>IC OSC SINGLE TIMER 100KHZ 8-DIP</t>
  </si>
  <si>
    <t>BOM scheda — LEDModule   (ne servono 3)</t>
  </si>
  <si>
    <t>J1,J2</t>
  </si>
  <si>
    <t>Conn_02x10_Odd_Even</t>
  </si>
  <si>
    <t>Connector_PinHeader_2.54mm:PinHeader_2x10_P2.54mm_Vertical</t>
  </si>
  <si>
    <t>Generic connector, double row, 02x10, odd/even pin numbering scheme (row 1 odd numbers, row 2 even numbers), script generated (kicad-library-utils/schlib/autogen/connector/)</t>
  </si>
  <si>
    <t>Generic screw terminal, single row, 01x02, script generated (kicad-library-utils/schlib/autogen/connector/)</t>
  </si>
  <si>
    <t>BOM scheda — Korry Large   (ne servono 3)</t>
  </si>
  <si>
    <t>DG-1,DW-1</t>
  </si>
  <si>
    <t>BTN+LED</t>
  </si>
  <si>
    <t>BK_LED</t>
  </si>
  <si>
    <t>RG-1</t>
  </si>
  <si>
    <t>RW-1</t>
  </si>
  <si>
    <t>91</t>
  </si>
  <si>
    <t>S1</t>
  </si>
  <si>
    <t>digikey-footprints:Switch_Tactile_THT_6x6mm</t>
  </si>
  <si>
    <t>SWITCH TACTILE SPST-NO 0.05A 24V</t>
  </si>
  <si>
    <t>BOM scheda — Korry Small   (ne servono 17)</t>
  </si>
  <si>
    <t>SW</t>
  </si>
  <si>
    <t>Button_Switch_THT:SW_PUSH_1P1T_6x3.5mm_H4.3_APEM_MJTP1243</t>
  </si>
  <si>
    <t>Push button switch, generic, two pins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</si>
</sst>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color rgb="FF806000"/>
      <name val="Arial"/>
    </font>
    <font>
      <b/>
      <sz val="10"/>
      <name val="Arial"/>
    </font>
    <font>
      <b/>
      <sz val="10"/>
      <color rgb="FFFFFFFF"/>
      <name val="Arial"/>
    </font>
    <font>
      <sz val="10"/>
      <name val="Arial"/>
    </font>
    <font>
      <b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1F3864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0" fontId="3" fillId="0" borderId="0" xfId="0" applyFont="1"/>
    <xf numFmtId="0" fontId="6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1"/>
  <sheetViews>
    <sheetView tabSelected="1" workbookViewId="0">
      <pane xSplit="2" ySplit="6" topLeftCell="C7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30" customWidth="1"/>
    <col min="3" max="3" width="20" customWidth="1"/>
    <col min="4" max="4" width="11" customWidth="1"/>
    <col min="5" max="5" width="26" customWidth="1"/>
    <col min="6" max="6" width="38" customWidth="1"/>
    <col min="7" max="12" width="11" customWidth="1"/>
    <col min="13" max="13" width="9" customWidth="1"/>
    <col min="14" max="14" width="18" customWidth="1"/>
    <col min="15" max="15" width="9" customWidth="1"/>
    <col min="16" max="16" width="12" customWidth="1"/>
    <col min="17" max="17" width="46" customWidth="1"/>
  </cols>
  <sheetData>
    <row r="1" spans="1:17" ht="18" x14ac:dyDescent="0.25">
      <c r="A1" s="1" t="s">
        <v>0</v>
      </c>
    </row>
    <row r="2" spans="1:17" x14ac:dyDescent="0.25">
      <c r="A2" s="2" t="s">
        <v>1</v>
      </c>
    </row>
    <row r="4" spans="1:17" x14ac:dyDescent="0.25">
      <c r="F4" s="3" t="s">
        <v>2</v>
      </c>
      <c r="G4" s="4">
        <v>1</v>
      </c>
      <c r="H4" s="4">
        <v>1</v>
      </c>
      <c r="I4" s="4">
        <v>1</v>
      </c>
      <c r="J4" s="4">
        <v>3</v>
      </c>
      <c r="K4" s="4">
        <v>3</v>
      </c>
      <c r="L4" s="4">
        <v>17</v>
      </c>
    </row>
    <row r="6" spans="1:17" ht="25.5" x14ac:dyDescent="0.25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15</v>
      </c>
      <c r="N6" s="5" t="s">
        <v>16</v>
      </c>
      <c r="O6" s="5" t="s">
        <v>17</v>
      </c>
      <c r="P6" s="5" t="s">
        <v>18</v>
      </c>
      <c r="Q6" s="5" t="s">
        <v>19</v>
      </c>
    </row>
    <row r="7" spans="1:17" ht="63.75" x14ac:dyDescent="0.25">
      <c r="A7" s="6" t="s">
        <v>20</v>
      </c>
      <c r="B7" s="7" t="s">
        <v>21</v>
      </c>
      <c r="C7" s="7" t="s">
        <v>22</v>
      </c>
      <c r="D7" s="7" t="s">
        <v>23</v>
      </c>
      <c r="E7" s="7" t="s">
        <v>24</v>
      </c>
      <c r="F7" s="8" t="s">
        <v>25</v>
      </c>
      <c r="G7" s="9">
        <v>1</v>
      </c>
      <c r="H7" s="9"/>
      <c r="I7" s="9"/>
      <c r="J7" s="9"/>
      <c r="K7" s="9"/>
      <c r="L7" s="9"/>
      <c r="M7" s="10">
        <f t="shared" ref="M7:M38" si="0">G7*G$4+H7*H$4+I7*I$4+J7*J$4+K7*K$4+L7*L$4</f>
        <v>1</v>
      </c>
      <c r="N7" s="9" t="s">
        <v>26</v>
      </c>
      <c r="O7" s="11"/>
      <c r="P7" s="9">
        <f t="shared" ref="P7:P38" si="1">MAX(0,M7-O7)</f>
        <v>1</v>
      </c>
      <c r="Q7" s="8" t="s">
        <v>27</v>
      </c>
    </row>
    <row r="8" spans="1:17" x14ac:dyDescent="0.25">
      <c r="A8" s="6" t="s">
        <v>20</v>
      </c>
      <c r="B8" s="7" t="s">
        <v>28</v>
      </c>
      <c r="C8" s="7" t="s">
        <v>29</v>
      </c>
      <c r="D8" s="7" t="s">
        <v>30</v>
      </c>
      <c r="E8" s="7" t="s">
        <v>31</v>
      </c>
      <c r="F8" s="8" t="s">
        <v>32</v>
      </c>
      <c r="G8" s="9"/>
      <c r="H8" s="9">
        <v>2</v>
      </c>
      <c r="I8" s="9"/>
      <c r="J8" s="9"/>
      <c r="K8" s="9"/>
      <c r="L8" s="9"/>
      <c r="M8" s="10">
        <f t="shared" si="0"/>
        <v>2</v>
      </c>
      <c r="N8" s="9" t="s">
        <v>33</v>
      </c>
      <c r="O8" s="11"/>
      <c r="P8" s="9">
        <f t="shared" si="1"/>
        <v>2</v>
      </c>
      <c r="Q8" s="8"/>
    </row>
    <row r="9" spans="1:17" x14ac:dyDescent="0.25">
      <c r="A9" s="6" t="s">
        <v>20</v>
      </c>
      <c r="B9" s="7" t="s">
        <v>34</v>
      </c>
      <c r="C9" s="7" t="s">
        <v>35</v>
      </c>
      <c r="D9" s="7" t="s">
        <v>30</v>
      </c>
      <c r="E9" s="7" t="s">
        <v>36</v>
      </c>
      <c r="F9" s="8" t="s">
        <v>37</v>
      </c>
      <c r="G9" s="9"/>
      <c r="H9" s="9"/>
      <c r="I9" s="9">
        <v>2</v>
      </c>
      <c r="J9" s="9"/>
      <c r="K9" s="9"/>
      <c r="L9" s="9"/>
      <c r="M9" s="10">
        <f t="shared" si="0"/>
        <v>2</v>
      </c>
      <c r="N9" s="9" t="s">
        <v>33</v>
      </c>
      <c r="O9" s="11"/>
      <c r="P9" s="9">
        <f t="shared" si="1"/>
        <v>2</v>
      </c>
      <c r="Q9" s="8"/>
    </row>
    <row r="10" spans="1:17" ht="25.5" x14ac:dyDescent="0.25">
      <c r="A10" s="6" t="s">
        <v>20</v>
      </c>
      <c r="B10" s="7" t="s">
        <v>38</v>
      </c>
      <c r="C10" s="7" t="s">
        <v>39</v>
      </c>
      <c r="D10" s="7" t="s">
        <v>30</v>
      </c>
      <c r="E10" s="7" t="s">
        <v>40</v>
      </c>
      <c r="F10" s="8" t="s">
        <v>41</v>
      </c>
      <c r="G10" s="9"/>
      <c r="H10" s="9"/>
      <c r="I10" s="9">
        <v>1</v>
      </c>
      <c r="J10" s="9"/>
      <c r="K10" s="9"/>
      <c r="L10" s="9"/>
      <c r="M10" s="10">
        <f t="shared" si="0"/>
        <v>1</v>
      </c>
      <c r="N10" s="9" t="s">
        <v>33</v>
      </c>
      <c r="O10" s="11"/>
      <c r="P10" s="9">
        <f t="shared" si="1"/>
        <v>1</v>
      </c>
      <c r="Q10" s="8"/>
    </row>
    <row r="11" spans="1:17" ht="25.5" x14ac:dyDescent="0.25">
      <c r="A11" s="6" t="s">
        <v>20</v>
      </c>
      <c r="B11" s="7" t="s">
        <v>42</v>
      </c>
      <c r="C11" s="7" t="s">
        <v>43</v>
      </c>
      <c r="D11" s="7" t="s">
        <v>23</v>
      </c>
      <c r="E11" s="7" t="s">
        <v>44</v>
      </c>
      <c r="F11" s="8" t="s">
        <v>45</v>
      </c>
      <c r="G11" s="9">
        <v>1</v>
      </c>
      <c r="H11" s="9"/>
      <c r="I11" s="9"/>
      <c r="J11" s="9"/>
      <c r="K11" s="9"/>
      <c r="L11" s="9"/>
      <c r="M11" s="10">
        <f t="shared" si="0"/>
        <v>1</v>
      </c>
      <c r="N11" s="9" t="s">
        <v>33</v>
      </c>
      <c r="O11" s="11"/>
      <c r="P11" s="9">
        <f t="shared" si="1"/>
        <v>1</v>
      </c>
      <c r="Q11" s="8" t="s">
        <v>46</v>
      </c>
    </row>
    <row r="12" spans="1:17" x14ac:dyDescent="0.25">
      <c r="A12" s="6" t="s">
        <v>20</v>
      </c>
      <c r="B12" s="7" t="s">
        <v>47</v>
      </c>
      <c r="C12" s="7" t="s">
        <v>48</v>
      </c>
      <c r="D12" s="7" t="s">
        <v>23</v>
      </c>
      <c r="E12" s="7" t="s">
        <v>49</v>
      </c>
      <c r="F12" s="8" t="s">
        <v>50</v>
      </c>
      <c r="G12" s="9">
        <v>1</v>
      </c>
      <c r="H12" s="9"/>
      <c r="I12" s="9"/>
      <c r="J12" s="9"/>
      <c r="K12" s="9"/>
      <c r="L12" s="9"/>
      <c r="M12" s="10">
        <f t="shared" si="0"/>
        <v>1</v>
      </c>
      <c r="N12" s="9" t="s">
        <v>33</v>
      </c>
      <c r="O12" s="11"/>
      <c r="P12" s="9">
        <f t="shared" si="1"/>
        <v>1</v>
      </c>
      <c r="Q12" s="8"/>
    </row>
    <row r="13" spans="1:17" x14ac:dyDescent="0.25">
      <c r="A13" s="6" t="s">
        <v>20</v>
      </c>
      <c r="B13" s="7" t="s">
        <v>51</v>
      </c>
      <c r="C13" s="7" t="s">
        <v>52</v>
      </c>
      <c r="D13" s="7" t="s">
        <v>23</v>
      </c>
      <c r="E13" s="7" t="s">
        <v>53</v>
      </c>
      <c r="F13" s="8" t="s">
        <v>54</v>
      </c>
      <c r="G13" s="9">
        <v>4</v>
      </c>
      <c r="H13" s="9"/>
      <c r="I13" s="9"/>
      <c r="J13" s="9"/>
      <c r="K13" s="9"/>
      <c r="L13" s="9"/>
      <c r="M13" s="10">
        <f t="shared" si="0"/>
        <v>4</v>
      </c>
      <c r="N13" s="9" t="s">
        <v>33</v>
      </c>
      <c r="O13" s="11"/>
      <c r="P13" s="9">
        <f t="shared" si="1"/>
        <v>4</v>
      </c>
      <c r="Q13" s="8"/>
    </row>
    <row r="14" spans="1:17" x14ac:dyDescent="0.25">
      <c r="A14" s="6" t="s">
        <v>20</v>
      </c>
      <c r="B14" s="7" t="s">
        <v>55</v>
      </c>
      <c r="C14" s="7" t="s">
        <v>56</v>
      </c>
      <c r="D14" s="7" t="s">
        <v>23</v>
      </c>
      <c r="E14" s="7" t="s">
        <v>57</v>
      </c>
      <c r="F14" s="8" t="s">
        <v>58</v>
      </c>
      <c r="G14" s="9">
        <v>1</v>
      </c>
      <c r="H14" s="9"/>
      <c r="I14" s="9"/>
      <c r="J14" s="9"/>
      <c r="K14" s="9"/>
      <c r="L14" s="9"/>
      <c r="M14" s="10">
        <f t="shared" si="0"/>
        <v>1</v>
      </c>
      <c r="N14" s="9" t="s">
        <v>33</v>
      </c>
      <c r="O14" s="11"/>
      <c r="P14" s="9">
        <f t="shared" si="1"/>
        <v>1</v>
      </c>
      <c r="Q14" s="8"/>
    </row>
    <row r="15" spans="1:17" ht="51" x14ac:dyDescent="0.25">
      <c r="A15" s="6" t="s">
        <v>20</v>
      </c>
      <c r="B15" s="7" t="s">
        <v>59</v>
      </c>
      <c r="C15" s="7" t="s">
        <v>60</v>
      </c>
      <c r="D15" s="7" t="s">
        <v>30</v>
      </c>
      <c r="E15" s="7" t="s">
        <v>61</v>
      </c>
      <c r="F15" s="8" t="s">
        <v>62</v>
      </c>
      <c r="G15" s="9"/>
      <c r="H15" s="9">
        <v>1</v>
      </c>
      <c r="I15" s="9"/>
      <c r="J15" s="9"/>
      <c r="K15" s="9"/>
      <c r="L15" s="9"/>
      <c r="M15" s="10">
        <f t="shared" si="0"/>
        <v>1</v>
      </c>
      <c r="N15" s="9" t="s">
        <v>33</v>
      </c>
      <c r="O15" s="11"/>
      <c r="P15" s="9">
        <f t="shared" si="1"/>
        <v>1</v>
      </c>
      <c r="Q15" s="8" t="s">
        <v>63</v>
      </c>
    </row>
    <row r="16" spans="1:17" x14ac:dyDescent="0.25">
      <c r="A16" s="6" t="s">
        <v>20</v>
      </c>
      <c r="B16" s="7" t="s">
        <v>64</v>
      </c>
      <c r="C16" s="7" t="s">
        <v>65</v>
      </c>
      <c r="D16" s="7" t="s">
        <v>23</v>
      </c>
      <c r="E16" s="7" t="s">
        <v>66</v>
      </c>
      <c r="F16" s="8" t="s">
        <v>67</v>
      </c>
      <c r="G16" s="9"/>
      <c r="H16" s="9">
        <v>1</v>
      </c>
      <c r="I16" s="9"/>
      <c r="J16" s="9"/>
      <c r="K16" s="9"/>
      <c r="L16" s="9"/>
      <c r="M16" s="10">
        <f t="shared" si="0"/>
        <v>1</v>
      </c>
      <c r="N16" s="9" t="s">
        <v>33</v>
      </c>
      <c r="O16" s="11"/>
      <c r="P16" s="9">
        <f t="shared" si="1"/>
        <v>1</v>
      </c>
      <c r="Q16" s="8"/>
    </row>
    <row r="17" spans="1:17" x14ac:dyDescent="0.25">
      <c r="A17" s="6" t="s">
        <v>20</v>
      </c>
      <c r="B17" s="7" t="s">
        <v>68</v>
      </c>
      <c r="C17" s="7" t="s">
        <v>69</v>
      </c>
      <c r="D17" s="7" t="s">
        <v>23</v>
      </c>
      <c r="E17" s="7" t="s">
        <v>70</v>
      </c>
      <c r="F17" s="8" t="s">
        <v>71</v>
      </c>
      <c r="G17" s="9">
        <v>1</v>
      </c>
      <c r="H17" s="9"/>
      <c r="I17" s="9"/>
      <c r="J17" s="9"/>
      <c r="K17" s="9"/>
      <c r="L17" s="9"/>
      <c r="M17" s="10">
        <f t="shared" si="0"/>
        <v>1</v>
      </c>
      <c r="N17" s="9" t="s">
        <v>33</v>
      </c>
      <c r="O17" s="11"/>
      <c r="P17" s="9">
        <f t="shared" si="1"/>
        <v>1</v>
      </c>
      <c r="Q17" s="8"/>
    </row>
    <row r="18" spans="1:17" x14ac:dyDescent="0.25">
      <c r="A18" s="6" t="s">
        <v>20</v>
      </c>
      <c r="B18" s="7" t="s">
        <v>72</v>
      </c>
      <c r="C18" s="7" t="s">
        <v>73</v>
      </c>
      <c r="D18" s="7" t="s">
        <v>30</v>
      </c>
      <c r="E18" s="7" t="s">
        <v>74</v>
      </c>
      <c r="F18" s="8" t="s">
        <v>75</v>
      </c>
      <c r="G18" s="9"/>
      <c r="H18" s="9"/>
      <c r="I18" s="9">
        <v>1</v>
      </c>
      <c r="J18" s="9"/>
      <c r="K18" s="9"/>
      <c r="L18" s="9"/>
      <c r="M18" s="10">
        <f t="shared" si="0"/>
        <v>1</v>
      </c>
      <c r="N18" s="9" t="s">
        <v>33</v>
      </c>
      <c r="O18" s="11"/>
      <c r="P18" s="9">
        <f t="shared" si="1"/>
        <v>1</v>
      </c>
      <c r="Q18" s="8"/>
    </row>
    <row r="19" spans="1:17" x14ac:dyDescent="0.25">
      <c r="A19" s="6" t="s">
        <v>76</v>
      </c>
      <c r="B19" s="7" t="s">
        <v>77</v>
      </c>
      <c r="C19" s="7" t="s">
        <v>78</v>
      </c>
      <c r="D19" s="7" t="s">
        <v>23</v>
      </c>
      <c r="E19" s="7" t="s">
        <v>79</v>
      </c>
      <c r="F19" s="8" t="s">
        <v>80</v>
      </c>
      <c r="G19" s="9">
        <v>1</v>
      </c>
      <c r="H19" s="9"/>
      <c r="I19" s="9"/>
      <c r="J19" s="9"/>
      <c r="K19" s="9"/>
      <c r="L19" s="9"/>
      <c r="M19" s="10">
        <f t="shared" si="0"/>
        <v>1</v>
      </c>
      <c r="N19" s="9" t="s">
        <v>33</v>
      </c>
      <c r="O19" s="11"/>
      <c r="P19" s="9">
        <f t="shared" si="1"/>
        <v>1</v>
      </c>
      <c r="Q19" s="8"/>
    </row>
    <row r="20" spans="1:17" x14ac:dyDescent="0.25">
      <c r="A20" s="6" t="s">
        <v>76</v>
      </c>
      <c r="B20" s="7" t="s">
        <v>77</v>
      </c>
      <c r="C20" s="7" t="s">
        <v>81</v>
      </c>
      <c r="D20" s="7" t="s">
        <v>23</v>
      </c>
      <c r="E20" s="7" t="s">
        <v>79</v>
      </c>
      <c r="F20" s="8" t="s">
        <v>82</v>
      </c>
      <c r="G20" s="9">
        <v>1</v>
      </c>
      <c r="H20" s="9"/>
      <c r="I20" s="9"/>
      <c r="J20" s="9"/>
      <c r="K20" s="9"/>
      <c r="L20" s="9"/>
      <c r="M20" s="10">
        <f t="shared" si="0"/>
        <v>1</v>
      </c>
      <c r="N20" s="9" t="s">
        <v>33</v>
      </c>
      <c r="O20" s="11"/>
      <c r="P20" s="9">
        <f t="shared" si="1"/>
        <v>1</v>
      </c>
      <c r="Q20" s="8"/>
    </row>
    <row r="21" spans="1:17" ht="38.25" x14ac:dyDescent="0.25">
      <c r="A21" s="6" t="s">
        <v>83</v>
      </c>
      <c r="B21" s="7" t="s">
        <v>84</v>
      </c>
      <c r="C21" s="7" t="s">
        <v>85</v>
      </c>
      <c r="D21" s="7" t="s">
        <v>30</v>
      </c>
      <c r="E21" s="7" t="s">
        <v>86</v>
      </c>
      <c r="F21" s="8" t="s">
        <v>87</v>
      </c>
      <c r="G21" s="9"/>
      <c r="H21" s="9">
        <v>1</v>
      </c>
      <c r="I21" s="9"/>
      <c r="J21" s="9"/>
      <c r="K21" s="9"/>
      <c r="L21" s="9"/>
      <c r="M21" s="10">
        <f t="shared" si="0"/>
        <v>1</v>
      </c>
      <c r="N21" s="9" t="s">
        <v>33</v>
      </c>
      <c r="O21" s="11"/>
      <c r="P21" s="9">
        <f t="shared" si="1"/>
        <v>1</v>
      </c>
      <c r="Q21" s="8" t="s">
        <v>88</v>
      </c>
    </row>
    <row r="22" spans="1:17" x14ac:dyDescent="0.25">
      <c r="A22" s="6" t="s">
        <v>89</v>
      </c>
      <c r="B22" s="7" t="s">
        <v>90</v>
      </c>
      <c r="C22" s="7" t="s">
        <v>91</v>
      </c>
      <c r="D22" s="7" t="s">
        <v>30</v>
      </c>
      <c r="E22" s="7" t="s">
        <v>92</v>
      </c>
      <c r="F22" s="8" t="s">
        <v>93</v>
      </c>
      <c r="G22" s="9"/>
      <c r="H22" s="9">
        <v>1</v>
      </c>
      <c r="I22" s="9"/>
      <c r="J22" s="9"/>
      <c r="K22" s="9"/>
      <c r="L22" s="9"/>
      <c r="M22" s="10">
        <f t="shared" si="0"/>
        <v>1</v>
      </c>
      <c r="N22" s="9" t="s">
        <v>33</v>
      </c>
      <c r="O22" s="11"/>
      <c r="P22" s="9">
        <f t="shared" si="1"/>
        <v>1</v>
      </c>
      <c r="Q22" s="8"/>
    </row>
    <row r="23" spans="1:17" x14ac:dyDescent="0.25">
      <c r="A23" s="6" t="s">
        <v>89</v>
      </c>
      <c r="B23" s="7" t="s">
        <v>90</v>
      </c>
      <c r="C23" s="7" t="s">
        <v>94</v>
      </c>
      <c r="D23" s="7" t="s">
        <v>30</v>
      </c>
      <c r="E23" s="7" t="s">
        <v>92</v>
      </c>
      <c r="F23" s="8" t="s">
        <v>95</v>
      </c>
      <c r="G23" s="9"/>
      <c r="H23" s="9">
        <v>1</v>
      </c>
      <c r="I23" s="9"/>
      <c r="J23" s="9"/>
      <c r="K23" s="9"/>
      <c r="L23" s="9"/>
      <c r="M23" s="10">
        <f t="shared" si="0"/>
        <v>1</v>
      </c>
      <c r="N23" s="9" t="s">
        <v>33</v>
      </c>
      <c r="O23" s="11"/>
      <c r="P23" s="9">
        <f t="shared" si="1"/>
        <v>1</v>
      </c>
      <c r="Q23" s="8"/>
    </row>
    <row r="24" spans="1:17" x14ac:dyDescent="0.25">
      <c r="A24" s="6" t="s">
        <v>96</v>
      </c>
      <c r="B24" s="7" t="s">
        <v>97</v>
      </c>
      <c r="C24" s="7" t="s">
        <v>98</v>
      </c>
      <c r="D24" s="7" t="s">
        <v>23</v>
      </c>
      <c r="E24" s="7" t="s">
        <v>99</v>
      </c>
      <c r="F24" s="8" t="s">
        <v>100</v>
      </c>
      <c r="G24" s="9">
        <v>1</v>
      </c>
      <c r="H24" s="9"/>
      <c r="I24" s="9"/>
      <c r="J24" s="9"/>
      <c r="K24" s="9"/>
      <c r="L24" s="9"/>
      <c r="M24" s="10">
        <f t="shared" si="0"/>
        <v>1</v>
      </c>
      <c r="N24" s="9" t="s">
        <v>33</v>
      </c>
      <c r="O24" s="11"/>
      <c r="P24" s="9">
        <f t="shared" si="1"/>
        <v>1</v>
      </c>
      <c r="Q24" s="8"/>
    </row>
    <row r="25" spans="1:17" x14ac:dyDescent="0.25">
      <c r="A25" s="6" t="s">
        <v>96</v>
      </c>
      <c r="B25" s="7" t="s">
        <v>97</v>
      </c>
      <c r="C25" s="7" t="s">
        <v>101</v>
      </c>
      <c r="D25" s="7" t="s">
        <v>23</v>
      </c>
      <c r="E25" s="7" t="s">
        <v>99</v>
      </c>
      <c r="F25" s="8" t="s">
        <v>102</v>
      </c>
      <c r="G25" s="9">
        <v>18</v>
      </c>
      <c r="H25" s="9">
        <v>2</v>
      </c>
      <c r="I25" s="9"/>
      <c r="J25" s="9"/>
      <c r="K25" s="9"/>
      <c r="L25" s="9"/>
      <c r="M25" s="10">
        <f t="shared" si="0"/>
        <v>20</v>
      </c>
      <c r="N25" s="9" t="s">
        <v>33</v>
      </c>
      <c r="O25" s="11"/>
      <c r="P25" s="9">
        <f t="shared" si="1"/>
        <v>20</v>
      </c>
      <c r="Q25" s="8"/>
    </row>
    <row r="26" spans="1:17" x14ac:dyDescent="0.25">
      <c r="A26" s="6" t="s">
        <v>96</v>
      </c>
      <c r="B26" s="7" t="s">
        <v>97</v>
      </c>
      <c r="C26" s="7" t="s">
        <v>103</v>
      </c>
      <c r="D26" s="7" t="s">
        <v>23</v>
      </c>
      <c r="E26" s="7" t="s">
        <v>99</v>
      </c>
      <c r="F26" s="8" t="s">
        <v>104</v>
      </c>
      <c r="G26" s="9">
        <v>5</v>
      </c>
      <c r="H26" s="9"/>
      <c r="I26" s="9"/>
      <c r="J26" s="9"/>
      <c r="K26" s="9"/>
      <c r="L26" s="9"/>
      <c r="M26" s="10">
        <f t="shared" si="0"/>
        <v>5</v>
      </c>
      <c r="N26" s="9" t="s">
        <v>33</v>
      </c>
      <c r="O26" s="11"/>
      <c r="P26" s="9">
        <f t="shared" si="1"/>
        <v>5</v>
      </c>
      <c r="Q26" s="8"/>
    </row>
    <row r="27" spans="1:17" x14ac:dyDescent="0.25">
      <c r="A27" s="6" t="s">
        <v>96</v>
      </c>
      <c r="B27" s="7" t="s">
        <v>105</v>
      </c>
      <c r="C27" s="7" t="s">
        <v>106</v>
      </c>
      <c r="D27" s="7" t="s">
        <v>30</v>
      </c>
      <c r="E27" s="7" t="s">
        <v>107</v>
      </c>
      <c r="F27" s="8" t="s">
        <v>108</v>
      </c>
      <c r="G27" s="9"/>
      <c r="H27" s="9"/>
      <c r="I27" s="9">
        <v>1</v>
      </c>
      <c r="J27" s="9"/>
      <c r="K27" s="9"/>
      <c r="L27" s="9"/>
      <c r="M27" s="10">
        <f t="shared" si="0"/>
        <v>1</v>
      </c>
      <c r="N27" s="9" t="s">
        <v>33</v>
      </c>
      <c r="O27" s="11"/>
      <c r="P27" s="9">
        <f t="shared" si="1"/>
        <v>1</v>
      </c>
      <c r="Q27" s="8"/>
    </row>
    <row r="28" spans="1:17" x14ac:dyDescent="0.25">
      <c r="A28" s="6" t="s">
        <v>96</v>
      </c>
      <c r="B28" s="7" t="s">
        <v>105</v>
      </c>
      <c r="C28" s="7" t="s">
        <v>101</v>
      </c>
      <c r="D28" s="7" t="s">
        <v>30</v>
      </c>
      <c r="E28" s="7" t="s">
        <v>107</v>
      </c>
      <c r="F28" s="8" t="s">
        <v>109</v>
      </c>
      <c r="G28" s="9"/>
      <c r="H28" s="9"/>
      <c r="I28" s="9">
        <v>1</v>
      </c>
      <c r="J28" s="9"/>
      <c r="K28" s="9"/>
      <c r="L28" s="9"/>
      <c r="M28" s="10">
        <f t="shared" si="0"/>
        <v>1</v>
      </c>
      <c r="N28" s="9" t="s">
        <v>33</v>
      </c>
      <c r="O28" s="11"/>
      <c r="P28" s="9">
        <f t="shared" si="1"/>
        <v>1</v>
      </c>
      <c r="Q28" s="8"/>
    </row>
    <row r="29" spans="1:17" x14ac:dyDescent="0.25">
      <c r="A29" s="6" t="s">
        <v>96</v>
      </c>
      <c r="B29" s="7" t="s">
        <v>105</v>
      </c>
      <c r="C29" s="7" t="s">
        <v>110</v>
      </c>
      <c r="D29" s="7" t="s">
        <v>30</v>
      </c>
      <c r="E29" s="7" t="s">
        <v>107</v>
      </c>
      <c r="F29" s="8" t="s">
        <v>111</v>
      </c>
      <c r="G29" s="9"/>
      <c r="H29" s="9"/>
      <c r="I29" s="9">
        <v>1</v>
      </c>
      <c r="J29" s="9"/>
      <c r="K29" s="9"/>
      <c r="L29" s="9"/>
      <c r="M29" s="10">
        <f t="shared" si="0"/>
        <v>1</v>
      </c>
      <c r="N29" s="9" t="s">
        <v>33</v>
      </c>
      <c r="O29" s="11"/>
      <c r="P29" s="9">
        <f t="shared" si="1"/>
        <v>1</v>
      </c>
      <c r="Q29" s="8"/>
    </row>
    <row r="30" spans="1:17" x14ac:dyDescent="0.25">
      <c r="A30" s="6" t="s">
        <v>96</v>
      </c>
      <c r="B30" s="7" t="s">
        <v>112</v>
      </c>
      <c r="C30" s="7" t="s">
        <v>113</v>
      </c>
      <c r="D30" s="7" t="s">
        <v>23</v>
      </c>
      <c r="E30" s="7" t="s">
        <v>114</v>
      </c>
      <c r="F30" s="8" t="s">
        <v>115</v>
      </c>
      <c r="G30" s="9">
        <v>2</v>
      </c>
      <c r="H30" s="9"/>
      <c r="I30" s="9"/>
      <c r="J30" s="9"/>
      <c r="K30" s="9"/>
      <c r="L30" s="9"/>
      <c r="M30" s="10">
        <f t="shared" si="0"/>
        <v>2</v>
      </c>
      <c r="N30" s="9" t="s">
        <v>33</v>
      </c>
      <c r="O30" s="11"/>
      <c r="P30" s="9">
        <f t="shared" si="1"/>
        <v>2</v>
      </c>
      <c r="Q30" s="8"/>
    </row>
    <row r="31" spans="1:17" x14ac:dyDescent="0.25">
      <c r="A31" s="6" t="s">
        <v>96</v>
      </c>
      <c r="B31" s="7" t="s">
        <v>112</v>
      </c>
      <c r="C31" s="7" t="s">
        <v>116</v>
      </c>
      <c r="D31" s="7" t="s">
        <v>23</v>
      </c>
      <c r="E31" s="7" t="s">
        <v>114</v>
      </c>
      <c r="F31" s="8" t="s">
        <v>115</v>
      </c>
      <c r="G31" s="9">
        <v>1</v>
      </c>
      <c r="H31" s="9"/>
      <c r="I31" s="9"/>
      <c r="J31" s="9"/>
      <c r="K31" s="9"/>
      <c r="L31" s="9"/>
      <c r="M31" s="10">
        <f t="shared" si="0"/>
        <v>1</v>
      </c>
      <c r="N31" s="9" t="s">
        <v>33</v>
      </c>
      <c r="O31" s="11"/>
      <c r="P31" s="9">
        <f t="shared" si="1"/>
        <v>1</v>
      </c>
      <c r="Q31" s="8"/>
    </row>
    <row r="32" spans="1:17" ht="38.25" x14ac:dyDescent="0.25">
      <c r="A32" s="6" t="s">
        <v>96</v>
      </c>
      <c r="B32" s="7" t="s">
        <v>117</v>
      </c>
      <c r="C32" s="7" t="s">
        <v>98</v>
      </c>
      <c r="D32" s="7" t="s">
        <v>30</v>
      </c>
      <c r="E32" s="7" t="s">
        <v>118</v>
      </c>
      <c r="F32" s="8" t="s">
        <v>115</v>
      </c>
      <c r="G32" s="9"/>
      <c r="H32" s="9"/>
      <c r="I32" s="9">
        <v>1</v>
      </c>
      <c r="J32" s="9"/>
      <c r="K32" s="9"/>
      <c r="L32" s="9"/>
      <c r="M32" s="10">
        <f t="shared" si="0"/>
        <v>1</v>
      </c>
      <c r="N32" s="9" t="s">
        <v>33</v>
      </c>
      <c r="O32" s="11"/>
      <c r="P32" s="9">
        <f t="shared" si="1"/>
        <v>1</v>
      </c>
      <c r="Q32" s="8" t="s">
        <v>119</v>
      </c>
    </row>
    <row r="33" spans="1:17" x14ac:dyDescent="0.25">
      <c r="A33" s="6" t="s">
        <v>96</v>
      </c>
      <c r="B33" s="7" t="s">
        <v>117</v>
      </c>
      <c r="C33" s="7" t="s">
        <v>113</v>
      </c>
      <c r="D33" s="7" t="s">
        <v>30</v>
      </c>
      <c r="E33" s="7" t="s">
        <v>120</v>
      </c>
      <c r="F33" s="8" t="s">
        <v>121</v>
      </c>
      <c r="G33" s="9"/>
      <c r="H33" s="9">
        <v>2</v>
      </c>
      <c r="I33" s="9"/>
      <c r="J33" s="9"/>
      <c r="K33" s="9"/>
      <c r="L33" s="9"/>
      <c r="M33" s="10">
        <f t="shared" si="0"/>
        <v>2</v>
      </c>
      <c r="N33" s="9" t="s">
        <v>33</v>
      </c>
      <c r="O33" s="11"/>
      <c r="P33" s="9">
        <f t="shared" si="1"/>
        <v>2</v>
      </c>
      <c r="Q33" s="8" t="s">
        <v>122</v>
      </c>
    </row>
    <row r="34" spans="1:17" x14ac:dyDescent="0.25">
      <c r="A34" s="6" t="s">
        <v>96</v>
      </c>
      <c r="B34" s="7" t="s">
        <v>117</v>
      </c>
      <c r="C34" s="7" t="s">
        <v>123</v>
      </c>
      <c r="D34" s="7" t="s">
        <v>30</v>
      </c>
      <c r="E34" s="7" t="s">
        <v>120</v>
      </c>
      <c r="F34" s="8" t="s">
        <v>124</v>
      </c>
      <c r="G34" s="9"/>
      <c r="H34" s="9">
        <v>1</v>
      </c>
      <c r="I34" s="9"/>
      <c r="J34" s="9"/>
      <c r="K34" s="9"/>
      <c r="L34" s="9"/>
      <c r="M34" s="10">
        <f t="shared" si="0"/>
        <v>1</v>
      </c>
      <c r="N34" s="9" t="s">
        <v>33</v>
      </c>
      <c r="O34" s="11"/>
      <c r="P34" s="9">
        <f t="shared" si="1"/>
        <v>1</v>
      </c>
      <c r="Q34" s="8"/>
    </row>
    <row r="35" spans="1:17" x14ac:dyDescent="0.25">
      <c r="A35" s="6" t="s">
        <v>96</v>
      </c>
      <c r="B35" s="7" t="s">
        <v>117</v>
      </c>
      <c r="C35" s="7" t="s">
        <v>116</v>
      </c>
      <c r="D35" s="7" t="s">
        <v>30</v>
      </c>
      <c r="E35" s="7" t="s">
        <v>120</v>
      </c>
      <c r="F35" s="8" t="s">
        <v>125</v>
      </c>
      <c r="G35" s="9"/>
      <c r="H35" s="9">
        <v>1</v>
      </c>
      <c r="I35" s="9"/>
      <c r="J35" s="9"/>
      <c r="K35" s="9"/>
      <c r="L35" s="9"/>
      <c r="M35" s="10">
        <f t="shared" si="0"/>
        <v>1</v>
      </c>
      <c r="N35" s="9" t="s">
        <v>33</v>
      </c>
      <c r="O35" s="11"/>
      <c r="P35" s="9">
        <f t="shared" si="1"/>
        <v>1</v>
      </c>
      <c r="Q35" s="8" t="s">
        <v>122</v>
      </c>
    </row>
    <row r="36" spans="1:17" x14ac:dyDescent="0.25">
      <c r="A36" s="6" t="s">
        <v>96</v>
      </c>
      <c r="B36" s="7" t="s">
        <v>117</v>
      </c>
      <c r="C36" s="7" t="s">
        <v>126</v>
      </c>
      <c r="D36" s="7" t="s">
        <v>30</v>
      </c>
      <c r="E36" s="7" t="s">
        <v>120</v>
      </c>
      <c r="F36" s="8" t="s">
        <v>127</v>
      </c>
      <c r="G36" s="9"/>
      <c r="H36" s="9">
        <v>1</v>
      </c>
      <c r="I36" s="9"/>
      <c r="J36" s="9"/>
      <c r="K36" s="9"/>
      <c r="L36" s="9"/>
      <c r="M36" s="10">
        <f t="shared" si="0"/>
        <v>1</v>
      </c>
      <c r="N36" s="9" t="s">
        <v>33</v>
      </c>
      <c r="O36" s="11"/>
      <c r="P36" s="9">
        <f t="shared" si="1"/>
        <v>1</v>
      </c>
      <c r="Q36" s="8"/>
    </row>
    <row r="37" spans="1:17" x14ac:dyDescent="0.25">
      <c r="A37" s="6" t="s">
        <v>128</v>
      </c>
      <c r="B37" s="7" t="s">
        <v>129</v>
      </c>
      <c r="C37" s="7" t="s">
        <v>130</v>
      </c>
      <c r="D37" s="7" t="s">
        <v>30</v>
      </c>
      <c r="E37" s="7" t="s">
        <v>131</v>
      </c>
      <c r="F37" s="8" t="s">
        <v>132</v>
      </c>
      <c r="G37" s="9"/>
      <c r="H37" s="9"/>
      <c r="I37" s="9">
        <v>1</v>
      </c>
      <c r="J37" s="9"/>
      <c r="K37" s="9"/>
      <c r="L37" s="9"/>
      <c r="M37" s="10">
        <f t="shared" si="0"/>
        <v>1</v>
      </c>
      <c r="N37" s="9" t="s">
        <v>33</v>
      </c>
      <c r="O37" s="11"/>
      <c r="P37" s="9">
        <f t="shared" si="1"/>
        <v>1</v>
      </c>
      <c r="Q37" s="8"/>
    </row>
    <row r="38" spans="1:17" x14ac:dyDescent="0.25">
      <c r="A38" s="6" t="s">
        <v>128</v>
      </c>
      <c r="B38" s="7" t="s">
        <v>129</v>
      </c>
      <c r="C38" s="7" t="s">
        <v>133</v>
      </c>
      <c r="D38" s="7" t="s">
        <v>30</v>
      </c>
      <c r="E38" s="7" t="s">
        <v>131</v>
      </c>
      <c r="F38" s="8" t="s">
        <v>132</v>
      </c>
      <c r="G38" s="9"/>
      <c r="H38" s="9"/>
      <c r="I38" s="9">
        <v>1</v>
      </c>
      <c r="J38" s="9"/>
      <c r="K38" s="9"/>
      <c r="L38" s="9"/>
      <c r="M38" s="10">
        <f t="shared" si="0"/>
        <v>1</v>
      </c>
      <c r="N38" s="9" t="s">
        <v>33</v>
      </c>
      <c r="O38" s="11"/>
      <c r="P38" s="9">
        <f t="shared" si="1"/>
        <v>1</v>
      </c>
      <c r="Q38" s="8" t="s">
        <v>134</v>
      </c>
    </row>
    <row r="39" spans="1:17" x14ac:dyDescent="0.25">
      <c r="A39" s="6" t="s">
        <v>128</v>
      </c>
      <c r="B39" s="7" t="s">
        <v>135</v>
      </c>
      <c r="C39" s="7" t="s">
        <v>130</v>
      </c>
      <c r="D39" s="7" t="s">
        <v>23</v>
      </c>
      <c r="E39" s="7" t="s">
        <v>99</v>
      </c>
      <c r="F39" s="8" t="s">
        <v>136</v>
      </c>
      <c r="G39" s="9">
        <v>2</v>
      </c>
      <c r="H39" s="9"/>
      <c r="I39" s="9"/>
      <c r="J39" s="9"/>
      <c r="K39" s="9"/>
      <c r="L39" s="9"/>
      <c r="M39" s="10">
        <f t="shared" ref="M39:M70" si="2">G39*G$4+H39*H$4+I39*I$4+J39*J$4+K39*K$4+L39*L$4</f>
        <v>2</v>
      </c>
      <c r="N39" s="9" t="s">
        <v>33</v>
      </c>
      <c r="O39" s="11"/>
      <c r="P39" s="9">
        <f t="shared" ref="P39:P70" si="3">MAX(0,M39-O39)</f>
        <v>2</v>
      </c>
      <c r="Q39" s="8"/>
    </row>
    <row r="40" spans="1:17" x14ac:dyDescent="0.25">
      <c r="A40" s="6" t="s">
        <v>128</v>
      </c>
      <c r="B40" s="7" t="s">
        <v>135</v>
      </c>
      <c r="C40" s="7" t="s">
        <v>137</v>
      </c>
      <c r="D40" s="7" t="s">
        <v>23</v>
      </c>
      <c r="E40" s="7" t="s">
        <v>99</v>
      </c>
      <c r="F40" s="8" t="s">
        <v>138</v>
      </c>
      <c r="G40" s="9">
        <v>1</v>
      </c>
      <c r="H40" s="9"/>
      <c r="I40" s="9"/>
      <c r="J40" s="9"/>
      <c r="K40" s="9"/>
      <c r="L40" s="9"/>
      <c r="M40" s="10">
        <f t="shared" si="2"/>
        <v>1</v>
      </c>
      <c r="N40" s="9" t="s">
        <v>33</v>
      </c>
      <c r="O40" s="11"/>
      <c r="P40" s="9">
        <f t="shared" si="3"/>
        <v>1</v>
      </c>
      <c r="Q40" s="8"/>
    </row>
    <row r="41" spans="1:17" x14ac:dyDescent="0.25">
      <c r="A41" s="6" t="s">
        <v>128</v>
      </c>
      <c r="B41" s="7" t="s">
        <v>135</v>
      </c>
      <c r="C41" s="7" t="s">
        <v>139</v>
      </c>
      <c r="D41" s="7" t="s">
        <v>23</v>
      </c>
      <c r="E41" s="7" t="s">
        <v>99</v>
      </c>
      <c r="F41" s="8" t="s">
        <v>140</v>
      </c>
      <c r="G41" s="9">
        <v>9</v>
      </c>
      <c r="H41" s="9"/>
      <c r="I41" s="9"/>
      <c r="J41" s="9"/>
      <c r="K41" s="9"/>
      <c r="L41" s="9"/>
      <c r="M41" s="10">
        <f t="shared" si="2"/>
        <v>9</v>
      </c>
      <c r="N41" s="9" t="s">
        <v>33</v>
      </c>
      <c r="O41" s="11"/>
      <c r="P41" s="9">
        <f t="shared" si="3"/>
        <v>9</v>
      </c>
      <c r="Q41" s="8"/>
    </row>
    <row r="42" spans="1:17" x14ac:dyDescent="0.25">
      <c r="A42" s="6" t="s">
        <v>128</v>
      </c>
      <c r="B42" s="7" t="s">
        <v>135</v>
      </c>
      <c r="C42" s="7" t="s">
        <v>141</v>
      </c>
      <c r="D42" s="7" t="s">
        <v>23</v>
      </c>
      <c r="E42" s="7" t="s">
        <v>99</v>
      </c>
      <c r="F42" s="8" t="s">
        <v>142</v>
      </c>
      <c r="G42" s="9">
        <v>2</v>
      </c>
      <c r="H42" s="9"/>
      <c r="I42" s="9"/>
      <c r="J42" s="9"/>
      <c r="K42" s="9"/>
      <c r="L42" s="9"/>
      <c r="M42" s="10">
        <f t="shared" si="2"/>
        <v>2</v>
      </c>
      <c r="N42" s="9" t="s">
        <v>33</v>
      </c>
      <c r="O42" s="11"/>
      <c r="P42" s="9">
        <f t="shared" si="3"/>
        <v>2</v>
      </c>
      <c r="Q42" s="8"/>
    </row>
    <row r="43" spans="1:17" x14ac:dyDescent="0.25">
      <c r="A43" s="6" t="s">
        <v>128</v>
      </c>
      <c r="B43" s="7" t="s">
        <v>135</v>
      </c>
      <c r="C43" s="7" t="s">
        <v>143</v>
      </c>
      <c r="D43" s="7" t="s">
        <v>23</v>
      </c>
      <c r="E43" s="7" t="s">
        <v>99</v>
      </c>
      <c r="F43" s="8" t="s">
        <v>144</v>
      </c>
      <c r="G43" s="9">
        <v>1</v>
      </c>
      <c r="H43" s="9"/>
      <c r="I43" s="9"/>
      <c r="J43" s="9"/>
      <c r="K43" s="9">
        <v>1</v>
      </c>
      <c r="L43" s="9">
        <v>1</v>
      </c>
      <c r="M43" s="10">
        <f t="shared" si="2"/>
        <v>21</v>
      </c>
      <c r="N43" s="9" t="s">
        <v>33</v>
      </c>
      <c r="O43" s="11"/>
      <c r="P43" s="9">
        <f t="shared" si="3"/>
        <v>21</v>
      </c>
      <c r="Q43" s="8"/>
    </row>
    <row r="44" spans="1:17" x14ac:dyDescent="0.25">
      <c r="A44" s="6" t="s">
        <v>128</v>
      </c>
      <c r="B44" s="7" t="s">
        <v>135</v>
      </c>
      <c r="C44" s="7" t="s">
        <v>145</v>
      </c>
      <c r="D44" s="7" t="s">
        <v>23</v>
      </c>
      <c r="E44" s="7" t="s">
        <v>99</v>
      </c>
      <c r="F44" s="8" t="s">
        <v>146</v>
      </c>
      <c r="G44" s="9">
        <v>16</v>
      </c>
      <c r="H44" s="9"/>
      <c r="I44" s="9"/>
      <c r="J44" s="9"/>
      <c r="K44" s="9"/>
      <c r="L44" s="9"/>
      <c r="M44" s="10">
        <f t="shared" si="2"/>
        <v>16</v>
      </c>
      <c r="N44" s="9" t="s">
        <v>33</v>
      </c>
      <c r="O44" s="11"/>
      <c r="P44" s="9">
        <f t="shared" si="3"/>
        <v>16</v>
      </c>
      <c r="Q44" s="8"/>
    </row>
    <row r="45" spans="1:17" x14ac:dyDescent="0.25">
      <c r="A45" s="6" t="s">
        <v>128</v>
      </c>
      <c r="B45" s="7" t="s">
        <v>135</v>
      </c>
      <c r="C45" s="7" t="s">
        <v>147</v>
      </c>
      <c r="D45" s="7" t="s">
        <v>23</v>
      </c>
      <c r="E45" s="7" t="s">
        <v>99</v>
      </c>
      <c r="F45" s="8" t="s">
        <v>148</v>
      </c>
      <c r="G45" s="9"/>
      <c r="H45" s="9">
        <v>3</v>
      </c>
      <c r="I45" s="9"/>
      <c r="J45" s="9"/>
      <c r="K45" s="9"/>
      <c r="L45" s="9"/>
      <c r="M45" s="10">
        <f t="shared" si="2"/>
        <v>3</v>
      </c>
      <c r="N45" s="9" t="s">
        <v>33</v>
      </c>
      <c r="O45" s="11"/>
      <c r="P45" s="9">
        <f t="shared" si="3"/>
        <v>3</v>
      </c>
      <c r="Q45" s="8"/>
    </row>
    <row r="46" spans="1:17" x14ac:dyDescent="0.25">
      <c r="A46" s="6" t="s">
        <v>128</v>
      </c>
      <c r="B46" s="7" t="s">
        <v>135</v>
      </c>
      <c r="C46" s="7" t="s">
        <v>149</v>
      </c>
      <c r="D46" s="7" t="s">
        <v>23</v>
      </c>
      <c r="E46" s="7" t="s">
        <v>99</v>
      </c>
      <c r="F46" s="8" t="s">
        <v>150</v>
      </c>
      <c r="G46" s="9">
        <v>1</v>
      </c>
      <c r="H46" s="9"/>
      <c r="I46" s="9"/>
      <c r="J46" s="9"/>
      <c r="K46" s="9"/>
      <c r="L46" s="9"/>
      <c r="M46" s="10">
        <f t="shared" si="2"/>
        <v>1</v>
      </c>
      <c r="N46" s="9" t="s">
        <v>33</v>
      </c>
      <c r="O46" s="11"/>
      <c r="P46" s="9">
        <f t="shared" si="3"/>
        <v>1</v>
      </c>
      <c r="Q46" s="8"/>
    </row>
    <row r="47" spans="1:17" x14ac:dyDescent="0.25">
      <c r="A47" s="6" t="s">
        <v>128</v>
      </c>
      <c r="B47" s="7" t="s">
        <v>135</v>
      </c>
      <c r="C47" s="7" t="s">
        <v>151</v>
      </c>
      <c r="D47" s="7" t="s">
        <v>23</v>
      </c>
      <c r="E47" s="7" t="s">
        <v>99</v>
      </c>
      <c r="F47" s="8" t="s">
        <v>152</v>
      </c>
      <c r="G47" s="9"/>
      <c r="H47" s="9"/>
      <c r="I47" s="9"/>
      <c r="J47" s="9"/>
      <c r="K47" s="9">
        <v>1</v>
      </c>
      <c r="L47" s="9">
        <v>1</v>
      </c>
      <c r="M47" s="10">
        <f t="shared" si="2"/>
        <v>20</v>
      </c>
      <c r="N47" s="9" t="s">
        <v>33</v>
      </c>
      <c r="O47" s="11"/>
      <c r="P47" s="9">
        <f t="shared" si="3"/>
        <v>20</v>
      </c>
      <c r="Q47" s="8"/>
    </row>
    <row r="48" spans="1:17" x14ac:dyDescent="0.25">
      <c r="A48" s="6" t="s">
        <v>153</v>
      </c>
      <c r="B48" s="7" t="s">
        <v>154</v>
      </c>
      <c r="C48" s="7" t="s">
        <v>155</v>
      </c>
      <c r="D48" s="7" t="s">
        <v>23</v>
      </c>
      <c r="E48" s="7" t="s">
        <v>99</v>
      </c>
      <c r="F48" s="8" t="s">
        <v>156</v>
      </c>
      <c r="G48" s="9">
        <v>1</v>
      </c>
      <c r="H48" s="9">
        <v>3</v>
      </c>
      <c r="I48" s="9"/>
      <c r="J48" s="9"/>
      <c r="K48" s="9"/>
      <c r="L48" s="9"/>
      <c r="M48" s="10">
        <f t="shared" si="2"/>
        <v>4</v>
      </c>
      <c r="N48" s="9" t="s">
        <v>33</v>
      </c>
      <c r="O48" s="11"/>
      <c r="P48" s="9">
        <f t="shared" si="3"/>
        <v>4</v>
      </c>
      <c r="Q48" s="8"/>
    </row>
    <row r="49" spans="1:17" ht="25.5" x14ac:dyDescent="0.25">
      <c r="A49" s="6" t="s">
        <v>153</v>
      </c>
      <c r="B49" s="7" t="s">
        <v>154</v>
      </c>
      <c r="C49" s="7" t="s">
        <v>157</v>
      </c>
      <c r="D49" s="7" t="s">
        <v>23</v>
      </c>
      <c r="E49" s="7" t="s">
        <v>99</v>
      </c>
      <c r="F49" s="8" t="s">
        <v>158</v>
      </c>
      <c r="G49" s="9"/>
      <c r="H49" s="9"/>
      <c r="I49" s="9"/>
      <c r="J49" s="9"/>
      <c r="K49" s="9">
        <v>2</v>
      </c>
      <c r="L49" s="9">
        <v>2</v>
      </c>
      <c r="M49" s="10">
        <f t="shared" si="2"/>
        <v>40</v>
      </c>
      <c r="N49" s="9" t="s">
        <v>33</v>
      </c>
      <c r="O49" s="11"/>
      <c r="P49" s="9">
        <f t="shared" si="3"/>
        <v>40</v>
      </c>
      <c r="Q49" s="8" t="s">
        <v>159</v>
      </c>
    </row>
    <row r="50" spans="1:17" x14ac:dyDescent="0.25">
      <c r="A50" s="6" t="s">
        <v>160</v>
      </c>
      <c r="B50" s="7" t="s">
        <v>161</v>
      </c>
      <c r="C50" s="7" t="s">
        <v>162</v>
      </c>
      <c r="D50" s="7" t="s">
        <v>30</v>
      </c>
      <c r="E50" s="7" t="s">
        <v>163</v>
      </c>
      <c r="F50" s="8" t="s">
        <v>164</v>
      </c>
      <c r="G50" s="9">
        <v>1</v>
      </c>
      <c r="H50" s="9"/>
      <c r="I50" s="9"/>
      <c r="J50" s="9"/>
      <c r="K50" s="9"/>
      <c r="L50" s="9"/>
      <c r="M50" s="10">
        <f t="shared" si="2"/>
        <v>1</v>
      </c>
      <c r="N50" s="9" t="s">
        <v>33</v>
      </c>
      <c r="O50" s="11"/>
      <c r="P50" s="9">
        <f t="shared" si="3"/>
        <v>1</v>
      </c>
      <c r="Q50" s="8"/>
    </row>
    <row r="51" spans="1:17" x14ac:dyDescent="0.25">
      <c r="A51" s="6" t="s">
        <v>160</v>
      </c>
      <c r="B51" s="7" t="s">
        <v>165</v>
      </c>
      <c r="C51" s="7" t="s">
        <v>166</v>
      </c>
      <c r="D51" s="7" t="s">
        <v>30</v>
      </c>
      <c r="E51" s="7" t="s">
        <v>167</v>
      </c>
      <c r="F51" s="8" t="s">
        <v>168</v>
      </c>
      <c r="G51" s="9"/>
      <c r="H51" s="9"/>
      <c r="I51" s="9"/>
      <c r="J51" s="9"/>
      <c r="K51" s="9"/>
      <c r="L51" s="9">
        <v>1</v>
      </c>
      <c r="M51" s="10">
        <f t="shared" si="2"/>
        <v>17</v>
      </c>
      <c r="N51" s="9" t="s">
        <v>33</v>
      </c>
      <c r="O51" s="11"/>
      <c r="P51" s="9">
        <f t="shared" si="3"/>
        <v>17</v>
      </c>
      <c r="Q51" s="8"/>
    </row>
    <row r="52" spans="1:17" x14ac:dyDescent="0.25">
      <c r="A52" s="6" t="s">
        <v>160</v>
      </c>
      <c r="B52" s="7" t="s">
        <v>169</v>
      </c>
      <c r="C52" s="7" t="s">
        <v>170</v>
      </c>
      <c r="D52" s="7" t="s">
        <v>30</v>
      </c>
      <c r="E52" s="7" t="s">
        <v>171</v>
      </c>
      <c r="F52" s="8" t="s">
        <v>172</v>
      </c>
      <c r="G52" s="9"/>
      <c r="H52" s="9"/>
      <c r="I52" s="9"/>
      <c r="J52" s="9"/>
      <c r="K52" s="9">
        <v>1</v>
      </c>
      <c r="L52" s="9"/>
      <c r="M52" s="10">
        <f t="shared" si="2"/>
        <v>3</v>
      </c>
      <c r="N52" s="9" t="s">
        <v>33</v>
      </c>
      <c r="O52" s="11"/>
      <c r="P52" s="9">
        <f t="shared" si="3"/>
        <v>3</v>
      </c>
      <c r="Q52" s="8"/>
    </row>
    <row r="53" spans="1:17" ht="25.5" x14ac:dyDescent="0.25">
      <c r="A53" s="6" t="s">
        <v>173</v>
      </c>
      <c r="B53" s="7" t="s">
        <v>174</v>
      </c>
      <c r="C53" s="7" t="s">
        <v>175</v>
      </c>
      <c r="D53" s="7" t="s">
        <v>30</v>
      </c>
      <c r="E53" s="7" t="s">
        <v>176</v>
      </c>
      <c r="F53" s="8" t="s">
        <v>177</v>
      </c>
      <c r="G53" s="9">
        <v>1</v>
      </c>
      <c r="H53" s="9">
        <v>5</v>
      </c>
      <c r="I53" s="9">
        <v>4</v>
      </c>
      <c r="J53" s="9">
        <v>1</v>
      </c>
      <c r="K53" s="9"/>
      <c r="L53" s="9"/>
      <c r="M53" s="10">
        <f t="shared" si="2"/>
        <v>13</v>
      </c>
      <c r="N53" s="9" t="s">
        <v>33</v>
      </c>
      <c r="O53" s="11"/>
      <c r="P53" s="9">
        <f t="shared" si="3"/>
        <v>13</v>
      </c>
      <c r="Q53" s="8"/>
    </row>
    <row r="54" spans="1:17" x14ac:dyDescent="0.25">
      <c r="A54" s="6" t="s">
        <v>173</v>
      </c>
      <c r="B54" s="7" t="s">
        <v>178</v>
      </c>
      <c r="C54" s="7" t="s">
        <v>179</v>
      </c>
      <c r="D54" s="7" t="s">
        <v>30</v>
      </c>
      <c r="E54" s="7" t="s">
        <v>180</v>
      </c>
      <c r="F54" s="8" t="s">
        <v>181</v>
      </c>
      <c r="G54" s="9">
        <v>1</v>
      </c>
      <c r="H54" s="9"/>
      <c r="I54" s="9"/>
      <c r="J54" s="9"/>
      <c r="K54" s="9"/>
      <c r="L54" s="9"/>
      <c r="M54" s="10">
        <f t="shared" si="2"/>
        <v>1</v>
      </c>
      <c r="N54" s="9" t="s">
        <v>33</v>
      </c>
      <c r="O54" s="11"/>
      <c r="P54" s="9">
        <f t="shared" si="3"/>
        <v>1</v>
      </c>
      <c r="Q54" s="8"/>
    </row>
    <row r="55" spans="1:17" x14ac:dyDescent="0.25">
      <c r="A55" s="6" t="s">
        <v>173</v>
      </c>
      <c r="B55" s="7" t="s">
        <v>182</v>
      </c>
      <c r="C55" s="7" t="s">
        <v>183</v>
      </c>
      <c r="D55" s="7" t="s">
        <v>30</v>
      </c>
      <c r="E55" s="7" t="s">
        <v>184</v>
      </c>
      <c r="F55" s="8" t="s">
        <v>185</v>
      </c>
      <c r="G55" s="9">
        <v>16</v>
      </c>
      <c r="H55" s="9"/>
      <c r="I55" s="9"/>
      <c r="J55" s="9"/>
      <c r="K55" s="9">
        <v>1</v>
      </c>
      <c r="L55" s="9">
        <v>1</v>
      </c>
      <c r="M55" s="10">
        <f t="shared" si="2"/>
        <v>36</v>
      </c>
      <c r="N55" s="9" t="s">
        <v>33</v>
      </c>
      <c r="O55" s="11"/>
      <c r="P55" s="9">
        <f t="shared" si="3"/>
        <v>36</v>
      </c>
      <c r="Q55" s="8"/>
    </row>
    <row r="56" spans="1:17" x14ac:dyDescent="0.25">
      <c r="A56" s="6" t="s">
        <v>173</v>
      </c>
      <c r="B56" s="7" t="s">
        <v>186</v>
      </c>
      <c r="C56" s="7" t="s">
        <v>187</v>
      </c>
      <c r="D56" s="7" t="s">
        <v>30</v>
      </c>
      <c r="E56" s="7" t="s">
        <v>184</v>
      </c>
      <c r="F56" s="8" t="s">
        <v>188</v>
      </c>
      <c r="G56" s="9">
        <v>34</v>
      </c>
      <c r="H56" s="9"/>
      <c r="I56" s="9">
        <v>1</v>
      </c>
      <c r="J56" s="9"/>
      <c r="K56" s="9">
        <v>1</v>
      </c>
      <c r="L56" s="9">
        <v>1</v>
      </c>
      <c r="M56" s="10">
        <f t="shared" si="2"/>
        <v>55</v>
      </c>
      <c r="N56" s="9" t="s">
        <v>33</v>
      </c>
      <c r="O56" s="11"/>
      <c r="P56" s="9">
        <f t="shared" si="3"/>
        <v>55</v>
      </c>
      <c r="Q56" s="8"/>
    </row>
    <row r="57" spans="1:17" x14ac:dyDescent="0.25">
      <c r="A57" s="6" t="s">
        <v>173</v>
      </c>
      <c r="B57" s="7" t="s">
        <v>189</v>
      </c>
      <c r="C57" s="7" t="s">
        <v>190</v>
      </c>
      <c r="D57" s="7" t="s">
        <v>30</v>
      </c>
      <c r="E57" s="7" t="s">
        <v>184</v>
      </c>
      <c r="F57" s="8" t="s">
        <v>191</v>
      </c>
      <c r="G57" s="9">
        <v>7</v>
      </c>
      <c r="H57" s="9"/>
      <c r="I57" s="9"/>
      <c r="J57" s="9"/>
      <c r="K57" s="9"/>
      <c r="L57" s="9"/>
      <c r="M57" s="10">
        <f t="shared" si="2"/>
        <v>7</v>
      </c>
      <c r="N57" s="9" t="s">
        <v>33</v>
      </c>
      <c r="O57" s="11"/>
      <c r="P57" s="9">
        <f t="shared" si="3"/>
        <v>7</v>
      </c>
      <c r="Q57" s="8"/>
    </row>
    <row r="58" spans="1:17" x14ac:dyDescent="0.25">
      <c r="A58" s="6" t="s">
        <v>173</v>
      </c>
      <c r="B58" s="7" t="s">
        <v>192</v>
      </c>
      <c r="C58" s="7" t="s">
        <v>193</v>
      </c>
      <c r="D58" s="7" t="s">
        <v>30</v>
      </c>
      <c r="E58" s="7" t="s">
        <v>184</v>
      </c>
      <c r="F58" s="8" t="s">
        <v>194</v>
      </c>
      <c r="G58" s="9">
        <v>3</v>
      </c>
      <c r="H58" s="9"/>
      <c r="I58" s="9"/>
      <c r="J58" s="9"/>
      <c r="K58" s="9"/>
      <c r="L58" s="9"/>
      <c r="M58" s="10">
        <f t="shared" si="2"/>
        <v>3</v>
      </c>
      <c r="N58" s="9" t="s">
        <v>33</v>
      </c>
      <c r="O58" s="11"/>
      <c r="P58" s="9">
        <f t="shared" si="3"/>
        <v>3</v>
      </c>
      <c r="Q58" s="8"/>
    </row>
    <row r="59" spans="1:17" x14ac:dyDescent="0.25">
      <c r="A59" s="6" t="s">
        <v>173</v>
      </c>
      <c r="B59" s="7" t="s">
        <v>195</v>
      </c>
      <c r="C59" s="7" t="s">
        <v>196</v>
      </c>
      <c r="D59" s="7" t="s">
        <v>30</v>
      </c>
      <c r="E59" s="7" t="s">
        <v>184</v>
      </c>
      <c r="F59" s="8" t="s">
        <v>197</v>
      </c>
      <c r="G59" s="9">
        <v>2</v>
      </c>
      <c r="H59" s="9"/>
      <c r="I59" s="9"/>
      <c r="J59" s="9"/>
      <c r="K59" s="9"/>
      <c r="L59" s="9"/>
      <c r="M59" s="10">
        <f t="shared" si="2"/>
        <v>2</v>
      </c>
      <c r="N59" s="9" t="s">
        <v>33</v>
      </c>
      <c r="O59" s="11"/>
      <c r="P59" s="9">
        <f t="shared" si="3"/>
        <v>2</v>
      </c>
      <c r="Q59" s="8"/>
    </row>
    <row r="60" spans="1:17" x14ac:dyDescent="0.25">
      <c r="A60" s="6" t="s">
        <v>173</v>
      </c>
      <c r="B60" s="7" t="s">
        <v>198</v>
      </c>
      <c r="C60" s="7" t="s">
        <v>199</v>
      </c>
      <c r="D60" s="7" t="s">
        <v>30</v>
      </c>
      <c r="E60" s="7" t="s">
        <v>184</v>
      </c>
      <c r="F60" s="8" t="s">
        <v>200</v>
      </c>
      <c r="G60" s="9"/>
      <c r="H60" s="9"/>
      <c r="I60" s="9"/>
      <c r="J60" s="9">
        <v>2</v>
      </c>
      <c r="K60" s="9"/>
      <c r="L60" s="9"/>
      <c r="M60" s="10">
        <f t="shared" si="2"/>
        <v>6</v>
      </c>
      <c r="N60" s="9" t="s">
        <v>33</v>
      </c>
      <c r="O60" s="11"/>
      <c r="P60" s="9">
        <f t="shared" si="3"/>
        <v>6</v>
      </c>
      <c r="Q60" s="8"/>
    </row>
    <row r="61" spans="1:17" x14ac:dyDescent="0.25">
      <c r="F61" s="3" t="s">
        <v>201</v>
      </c>
      <c r="M61" s="12">
        <f>SUM(M7:M60)</f>
        <v>325</v>
      </c>
      <c r="P61" s="12">
        <f>SUM(P7:P60)</f>
        <v>325</v>
      </c>
    </row>
  </sheetData>
  <autoFilter ref="A6:Q6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34" customWidth="1"/>
    <col min="2" max="2" width="26" customWidth="1"/>
    <col min="3" max="3" width="14" customWidth="1"/>
    <col min="4" max="4" width="58" customWidth="1"/>
    <col min="5" max="5" width="60" customWidth="1"/>
  </cols>
  <sheetData>
    <row r="1" spans="1:5" ht="15.75" x14ac:dyDescent="0.25">
      <c r="A1" s="13" t="s">
        <v>202</v>
      </c>
    </row>
    <row r="3" spans="1:5" ht="25.5" x14ac:dyDescent="0.25">
      <c r="A3" s="5" t="s">
        <v>203</v>
      </c>
      <c r="B3" s="5" t="s">
        <v>204</v>
      </c>
      <c r="C3" s="5" t="s">
        <v>205</v>
      </c>
      <c r="D3" s="5" t="s">
        <v>206</v>
      </c>
      <c r="E3" s="5" t="s">
        <v>207</v>
      </c>
    </row>
    <row r="4" spans="1:5" x14ac:dyDescent="0.25">
      <c r="A4" s="7" t="s">
        <v>208</v>
      </c>
      <c r="B4" s="7" t="s">
        <v>209</v>
      </c>
      <c r="C4" s="9">
        <v>18</v>
      </c>
      <c r="D4" s="7" t="s">
        <v>210</v>
      </c>
      <c r="E4" s="8" t="s">
        <v>211</v>
      </c>
    </row>
    <row r="5" spans="1:5" x14ac:dyDescent="0.25">
      <c r="A5" s="7" t="s">
        <v>212</v>
      </c>
      <c r="B5" s="7" t="s">
        <v>213</v>
      </c>
      <c r="C5" s="9">
        <v>1</v>
      </c>
      <c r="D5" s="7" t="s">
        <v>210</v>
      </c>
      <c r="E5" s="8" t="s">
        <v>211</v>
      </c>
    </row>
    <row r="6" spans="1:5" x14ac:dyDescent="0.25">
      <c r="A6" s="7" t="s">
        <v>214</v>
      </c>
      <c r="B6" s="7" t="s">
        <v>215</v>
      </c>
      <c r="C6" s="9">
        <v>5</v>
      </c>
      <c r="D6" s="7" t="s">
        <v>210</v>
      </c>
      <c r="E6" s="8" t="s">
        <v>211</v>
      </c>
    </row>
    <row r="7" spans="1:5" x14ac:dyDescent="0.25">
      <c r="A7" s="7" t="s">
        <v>216</v>
      </c>
      <c r="B7" s="7" t="s">
        <v>217</v>
      </c>
      <c r="C7" s="9">
        <v>2</v>
      </c>
      <c r="D7" s="7" t="s">
        <v>218</v>
      </c>
      <c r="E7" s="8" t="s">
        <v>219</v>
      </c>
    </row>
    <row r="8" spans="1:5" x14ac:dyDescent="0.25">
      <c r="A8" s="7" t="s">
        <v>220</v>
      </c>
      <c r="B8" s="7" t="s">
        <v>221</v>
      </c>
      <c r="C8" s="9">
        <v>1</v>
      </c>
      <c r="D8" s="7" t="s">
        <v>218</v>
      </c>
      <c r="E8" s="8" t="s">
        <v>219</v>
      </c>
    </row>
    <row r="9" spans="1:5" x14ac:dyDescent="0.25">
      <c r="A9" s="7" t="s">
        <v>222</v>
      </c>
      <c r="B9" s="7" t="s">
        <v>223</v>
      </c>
      <c r="C9" s="9">
        <v>1</v>
      </c>
      <c r="D9" s="7" t="s">
        <v>224</v>
      </c>
      <c r="E9" s="8" t="s">
        <v>225</v>
      </c>
    </row>
    <row r="10" spans="1:5" x14ac:dyDescent="0.25">
      <c r="A10" s="7" t="s">
        <v>226</v>
      </c>
      <c r="B10" s="7" t="s">
        <v>48</v>
      </c>
      <c r="C10" s="9">
        <v>1</v>
      </c>
      <c r="D10" s="7" t="s">
        <v>227</v>
      </c>
      <c r="E10" s="8"/>
    </row>
    <row r="11" spans="1:5" ht="25.5" x14ac:dyDescent="0.25">
      <c r="A11" s="7" t="s">
        <v>228</v>
      </c>
      <c r="B11" s="7" t="s">
        <v>229</v>
      </c>
      <c r="C11" s="9">
        <v>1</v>
      </c>
      <c r="D11" s="7" t="s">
        <v>230</v>
      </c>
      <c r="E11" s="8" t="s">
        <v>231</v>
      </c>
    </row>
    <row r="12" spans="1:5" ht="25.5" x14ac:dyDescent="0.25">
      <c r="A12" s="7" t="s">
        <v>232</v>
      </c>
      <c r="B12" s="7" t="s">
        <v>233</v>
      </c>
      <c r="C12" s="9">
        <v>1</v>
      </c>
      <c r="D12" s="7" t="s">
        <v>230</v>
      </c>
      <c r="E12" s="8" t="s">
        <v>231</v>
      </c>
    </row>
    <row r="13" spans="1:5" ht="25.5" x14ac:dyDescent="0.25">
      <c r="A13" s="7" t="s">
        <v>234</v>
      </c>
      <c r="B13" s="7" t="s">
        <v>235</v>
      </c>
      <c r="C13" s="9">
        <v>1</v>
      </c>
      <c r="D13" s="7" t="s">
        <v>230</v>
      </c>
      <c r="E13" s="8" t="s">
        <v>231</v>
      </c>
    </row>
    <row r="14" spans="1:5" ht="25.5" x14ac:dyDescent="0.25">
      <c r="A14" s="7" t="s">
        <v>236</v>
      </c>
      <c r="B14" s="7" t="s">
        <v>237</v>
      </c>
      <c r="C14" s="9">
        <v>1</v>
      </c>
      <c r="D14" s="7" t="s">
        <v>230</v>
      </c>
      <c r="E14" s="8" t="s">
        <v>231</v>
      </c>
    </row>
    <row r="15" spans="1:5" ht="25.5" x14ac:dyDescent="0.25">
      <c r="A15" s="7" t="s">
        <v>238</v>
      </c>
      <c r="B15" s="7" t="s">
        <v>239</v>
      </c>
      <c r="C15" s="9">
        <v>1</v>
      </c>
      <c r="D15" s="7" t="s">
        <v>230</v>
      </c>
      <c r="E15" s="8" t="s">
        <v>231</v>
      </c>
    </row>
    <row r="16" spans="1:5" ht="25.5" x14ac:dyDescent="0.25">
      <c r="A16" s="7" t="s">
        <v>240</v>
      </c>
      <c r="B16" s="7" t="s">
        <v>241</v>
      </c>
      <c r="C16" s="9">
        <v>1</v>
      </c>
      <c r="D16" s="7" t="s">
        <v>242</v>
      </c>
      <c r="E16" s="8" t="s">
        <v>243</v>
      </c>
    </row>
    <row r="17" spans="1:5" ht="25.5" x14ac:dyDescent="0.25">
      <c r="A17" s="7" t="s">
        <v>244</v>
      </c>
      <c r="B17" s="7" t="s">
        <v>245</v>
      </c>
      <c r="C17" s="9">
        <v>1</v>
      </c>
      <c r="D17" s="7" t="s">
        <v>242</v>
      </c>
      <c r="E17" s="8" t="s">
        <v>243</v>
      </c>
    </row>
    <row r="18" spans="1:5" ht="25.5" x14ac:dyDescent="0.25">
      <c r="A18" s="7" t="s">
        <v>246</v>
      </c>
      <c r="B18" s="7" t="s">
        <v>247</v>
      </c>
      <c r="C18" s="9">
        <v>1</v>
      </c>
      <c r="D18" s="7" t="s">
        <v>242</v>
      </c>
      <c r="E18" s="8" t="s">
        <v>243</v>
      </c>
    </row>
    <row r="19" spans="1:5" ht="25.5" x14ac:dyDescent="0.25">
      <c r="A19" s="7" t="s">
        <v>248</v>
      </c>
      <c r="B19" s="7" t="s">
        <v>249</v>
      </c>
      <c r="C19" s="9">
        <v>1</v>
      </c>
      <c r="D19" s="7" t="s">
        <v>242</v>
      </c>
      <c r="E19" s="8" t="s">
        <v>243</v>
      </c>
    </row>
    <row r="20" spans="1:5" ht="25.5" x14ac:dyDescent="0.25">
      <c r="A20" s="7" t="s">
        <v>250</v>
      </c>
      <c r="B20" s="7" t="s">
        <v>251</v>
      </c>
      <c r="C20" s="9">
        <v>1</v>
      </c>
      <c r="D20" s="7" t="s">
        <v>242</v>
      </c>
      <c r="E20" s="8" t="s">
        <v>243</v>
      </c>
    </row>
    <row r="21" spans="1:5" ht="25.5" x14ac:dyDescent="0.25">
      <c r="A21" s="7" t="s">
        <v>252</v>
      </c>
      <c r="B21" s="7" t="s">
        <v>253</v>
      </c>
      <c r="C21" s="9">
        <v>1</v>
      </c>
      <c r="D21" s="7" t="s">
        <v>242</v>
      </c>
      <c r="E21" s="8" t="s">
        <v>243</v>
      </c>
    </row>
    <row r="22" spans="1:5" ht="25.5" x14ac:dyDescent="0.25">
      <c r="A22" s="7" t="s">
        <v>254</v>
      </c>
      <c r="B22" s="7" t="s">
        <v>255</v>
      </c>
      <c r="C22" s="9">
        <v>1</v>
      </c>
      <c r="D22" s="7" t="s">
        <v>256</v>
      </c>
      <c r="E22" s="8" t="s">
        <v>257</v>
      </c>
    </row>
    <row r="23" spans="1:5" x14ac:dyDescent="0.25">
      <c r="A23" s="7" t="s">
        <v>258</v>
      </c>
      <c r="B23" s="7" t="s">
        <v>259</v>
      </c>
      <c r="C23" s="9">
        <v>1</v>
      </c>
      <c r="D23" s="7" t="s">
        <v>260</v>
      </c>
      <c r="E23" s="8" t="s">
        <v>261</v>
      </c>
    </row>
    <row r="24" spans="1:5" ht="25.5" x14ac:dyDescent="0.25">
      <c r="A24" s="7" t="s">
        <v>262</v>
      </c>
      <c r="B24" s="7" t="s">
        <v>263</v>
      </c>
      <c r="C24" s="9">
        <v>1</v>
      </c>
      <c r="D24" s="7" t="s">
        <v>230</v>
      </c>
      <c r="E24" s="8" t="s">
        <v>231</v>
      </c>
    </row>
    <row r="25" spans="1:5" ht="25.5" x14ac:dyDescent="0.25">
      <c r="A25" s="7" t="s">
        <v>264</v>
      </c>
      <c r="B25" s="7" t="s">
        <v>265</v>
      </c>
      <c r="C25" s="9">
        <v>1</v>
      </c>
      <c r="D25" s="7" t="s">
        <v>230</v>
      </c>
      <c r="E25" s="8" t="s">
        <v>231</v>
      </c>
    </row>
    <row r="26" spans="1:5" ht="25.5" x14ac:dyDescent="0.25">
      <c r="A26" s="7" t="s">
        <v>266</v>
      </c>
      <c r="B26" s="7" t="s">
        <v>267</v>
      </c>
      <c r="C26" s="9">
        <v>1</v>
      </c>
      <c r="D26" s="7" t="s">
        <v>242</v>
      </c>
      <c r="E26" s="8" t="s">
        <v>243</v>
      </c>
    </row>
    <row r="27" spans="1:5" ht="25.5" x14ac:dyDescent="0.25">
      <c r="A27" s="7" t="s">
        <v>268</v>
      </c>
      <c r="B27" s="7" t="s">
        <v>269</v>
      </c>
      <c r="C27" s="9">
        <v>1</v>
      </c>
      <c r="D27" s="7" t="s">
        <v>242</v>
      </c>
      <c r="E27" s="8" t="s">
        <v>243</v>
      </c>
    </row>
    <row r="28" spans="1:5" ht="25.5" x14ac:dyDescent="0.25">
      <c r="A28" s="7" t="s">
        <v>270</v>
      </c>
      <c r="B28" s="7" t="s">
        <v>271</v>
      </c>
      <c r="C28" s="9">
        <v>1</v>
      </c>
      <c r="D28" s="7" t="s">
        <v>242</v>
      </c>
      <c r="E28" s="8" t="s">
        <v>243</v>
      </c>
    </row>
    <row r="29" spans="1:5" ht="25.5" x14ac:dyDescent="0.25">
      <c r="A29" s="7" t="s">
        <v>272</v>
      </c>
      <c r="B29" s="7" t="s">
        <v>273</v>
      </c>
      <c r="C29" s="9">
        <v>1</v>
      </c>
      <c r="D29" s="7" t="s">
        <v>242</v>
      </c>
      <c r="E29" s="8" t="s">
        <v>243</v>
      </c>
    </row>
    <row r="30" spans="1:5" ht="25.5" x14ac:dyDescent="0.25">
      <c r="A30" s="7" t="s">
        <v>274</v>
      </c>
      <c r="B30" s="7" t="s">
        <v>275</v>
      </c>
      <c r="C30" s="9">
        <v>1</v>
      </c>
      <c r="D30" s="7" t="s">
        <v>242</v>
      </c>
      <c r="E30" s="8" t="s">
        <v>243</v>
      </c>
    </row>
    <row r="31" spans="1:5" ht="25.5" x14ac:dyDescent="0.25">
      <c r="A31" s="7" t="s">
        <v>276</v>
      </c>
      <c r="B31" s="7" t="s">
        <v>277</v>
      </c>
      <c r="C31" s="9">
        <v>1</v>
      </c>
      <c r="D31" s="7" t="s">
        <v>242</v>
      </c>
      <c r="E31" s="8" t="s">
        <v>243</v>
      </c>
    </row>
    <row r="32" spans="1:5" ht="25.5" x14ac:dyDescent="0.25">
      <c r="A32" s="7" t="s">
        <v>278</v>
      </c>
      <c r="B32" s="7" t="s">
        <v>279</v>
      </c>
      <c r="C32" s="9">
        <v>1</v>
      </c>
      <c r="D32" s="7" t="s">
        <v>242</v>
      </c>
      <c r="E32" s="8" t="s">
        <v>243</v>
      </c>
    </row>
    <row r="33" spans="1:5" ht="25.5" x14ac:dyDescent="0.25">
      <c r="A33" s="7" t="s">
        <v>280</v>
      </c>
      <c r="B33" s="7" t="s">
        <v>281</v>
      </c>
      <c r="C33" s="9">
        <v>1</v>
      </c>
      <c r="D33" s="7" t="s">
        <v>282</v>
      </c>
      <c r="E33" s="8" t="s">
        <v>283</v>
      </c>
    </row>
    <row r="34" spans="1:5" ht="25.5" x14ac:dyDescent="0.25">
      <c r="A34" s="7" t="s">
        <v>284</v>
      </c>
      <c r="B34" s="7" t="s">
        <v>285</v>
      </c>
      <c r="C34" s="9">
        <v>1</v>
      </c>
      <c r="D34" s="7" t="s">
        <v>282</v>
      </c>
      <c r="E34" s="8" t="s">
        <v>283</v>
      </c>
    </row>
    <row r="35" spans="1:5" ht="25.5" x14ac:dyDescent="0.25">
      <c r="A35" s="7" t="s">
        <v>286</v>
      </c>
      <c r="B35" s="7" t="s">
        <v>287</v>
      </c>
      <c r="C35" s="9">
        <v>1</v>
      </c>
      <c r="D35" s="7" t="s">
        <v>242</v>
      </c>
      <c r="E35" s="8" t="s">
        <v>243</v>
      </c>
    </row>
    <row r="36" spans="1:5" ht="25.5" x14ac:dyDescent="0.25">
      <c r="A36" s="7" t="s">
        <v>288</v>
      </c>
      <c r="B36" s="7" t="s">
        <v>289</v>
      </c>
      <c r="C36" s="9">
        <v>1</v>
      </c>
      <c r="D36" s="7" t="s">
        <v>242</v>
      </c>
      <c r="E36" s="8" t="s">
        <v>243</v>
      </c>
    </row>
    <row r="37" spans="1:5" ht="25.5" x14ac:dyDescent="0.25">
      <c r="A37" s="7" t="s">
        <v>290</v>
      </c>
      <c r="B37" s="7" t="s">
        <v>291</v>
      </c>
      <c r="C37" s="9">
        <v>1</v>
      </c>
      <c r="D37" s="7" t="s">
        <v>242</v>
      </c>
      <c r="E37" s="8" t="s">
        <v>243</v>
      </c>
    </row>
    <row r="38" spans="1:5" ht="25.5" x14ac:dyDescent="0.25">
      <c r="A38" s="7" t="s">
        <v>292</v>
      </c>
      <c r="B38" s="7" t="s">
        <v>293</v>
      </c>
      <c r="C38" s="9">
        <v>1</v>
      </c>
      <c r="D38" s="7" t="s">
        <v>242</v>
      </c>
      <c r="E38" s="8" t="s">
        <v>243</v>
      </c>
    </row>
    <row r="39" spans="1:5" ht="25.5" x14ac:dyDescent="0.25">
      <c r="A39" s="7" t="s">
        <v>294</v>
      </c>
      <c r="B39" s="7" t="s">
        <v>295</v>
      </c>
      <c r="C39" s="9">
        <v>1</v>
      </c>
      <c r="D39" s="7" t="s">
        <v>242</v>
      </c>
      <c r="E39" s="8" t="s">
        <v>243</v>
      </c>
    </row>
    <row r="40" spans="1:5" ht="25.5" x14ac:dyDescent="0.25">
      <c r="A40" s="7" t="s">
        <v>296</v>
      </c>
      <c r="B40" s="7" t="s">
        <v>297</v>
      </c>
      <c r="C40" s="9">
        <v>1</v>
      </c>
      <c r="D40" s="7" t="s">
        <v>282</v>
      </c>
      <c r="E40" s="8" t="s">
        <v>283</v>
      </c>
    </row>
    <row r="41" spans="1:5" ht="25.5" x14ac:dyDescent="0.25">
      <c r="A41" s="7" t="s">
        <v>298</v>
      </c>
      <c r="B41" s="7" t="s">
        <v>299</v>
      </c>
      <c r="C41" s="9">
        <v>1</v>
      </c>
      <c r="D41" s="7" t="s">
        <v>282</v>
      </c>
      <c r="E41" s="8" t="s">
        <v>283</v>
      </c>
    </row>
    <row r="42" spans="1:5" ht="25.5" x14ac:dyDescent="0.25">
      <c r="A42" s="7" t="s">
        <v>300</v>
      </c>
      <c r="B42" s="7" t="s">
        <v>301</v>
      </c>
      <c r="C42" s="9">
        <v>1</v>
      </c>
      <c r="D42" s="7" t="s">
        <v>282</v>
      </c>
      <c r="E42" s="8" t="s">
        <v>283</v>
      </c>
    </row>
    <row r="43" spans="1:5" ht="25.5" x14ac:dyDescent="0.25">
      <c r="A43" s="7" t="s">
        <v>302</v>
      </c>
      <c r="B43" s="7" t="s">
        <v>303</v>
      </c>
      <c r="C43" s="9">
        <v>1</v>
      </c>
      <c r="D43" s="7" t="s">
        <v>282</v>
      </c>
      <c r="E43" s="8" t="s">
        <v>283</v>
      </c>
    </row>
    <row r="44" spans="1:5" ht="25.5" x14ac:dyDescent="0.25">
      <c r="A44" s="7" t="s">
        <v>304</v>
      </c>
      <c r="B44" s="7" t="s">
        <v>305</v>
      </c>
      <c r="C44" s="9">
        <v>1</v>
      </c>
      <c r="D44" s="7" t="s">
        <v>282</v>
      </c>
      <c r="E44" s="8" t="s">
        <v>283</v>
      </c>
    </row>
    <row r="45" spans="1:5" ht="25.5" x14ac:dyDescent="0.25">
      <c r="A45" s="7" t="s">
        <v>306</v>
      </c>
      <c r="B45" s="7" t="s">
        <v>307</v>
      </c>
      <c r="C45" s="9">
        <v>1</v>
      </c>
      <c r="D45" s="7" t="s">
        <v>242</v>
      </c>
      <c r="E45" s="8" t="s">
        <v>243</v>
      </c>
    </row>
    <row r="46" spans="1:5" ht="25.5" x14ac:dyDescent="0.25">
      <c r="A46" s="7" t="s">
        <v>308</v>
      </c>
      <c r="B46" s="7" t="s">
        <v>309</v>
      </c>
      <c r="C46" s="9">
        <v>1</v>
      </c>
      <c r="D46" s="7" t="s">
        <v>242</v>
      </c>
      <c r="E46" s="8" t="s">
        <v>243</v>
      </c>
    </row>
    <row r="47" spans="1:5" ht="25.5" x14ac:dyDescent="0.25">
      <c r="A47" s="7" t="s">
        <v>310</v>
      </c>
      <c r="B47" s="7" t="s">
        <v>311</v>
      </c>
      <c r="C47" s="9">
        <v>1</v>
      </c>
      <c r="D47" s="7" t="s">
        <v>282</v>
      </c>
      <c r="E47" s="8" t="s">
        <v>283</v>
      </c>
    </row>
    <row r="48" spans="1:5" ht="25.5" x14ac:dyDescent="0.25">
      <c r="A48" s="7" t="s">
        <v>312</v>
      </c>
      <c r="B48" s="7" t="s">
        <v>313</v>
      </c>
      <c r="C48" s="9">
        <v>1</v>
      </c>
      <c r="D48" s="7" t="s">
        <v>282</v>
      </c>
      <c r="E48" s="8" t="s">
        <v>283</v>
      </c>
    </row>
    <row r="49" spans="1:5" ht="25.5" x14ac:dyDescent="0.25">
      <c r="A49" s="7" t="s">
        <v>314</v>
      </c>
      <c r="B49" s="7" t="s">
        <v>315</v>
      </c>
      <c r="C49" s="9">
        <v>1</v>
      </c>
      <c r="D49" s="7" t="s">
        <v>242</v>
      </c>
      <c r="E49" s="8" t="s">
        <v>243</v>
      </c>
    </row>
    <row r="50" spans="1:5" ht="25.5" x14ac:dyDescent="0.25">
      <c r="A50" s="7" t="s">
        <v>316</v>
      </c>
      <c r="B50" s="7" t="s">
        <v>317</v>
      </c>
      <c r="C50" s="9">
        <v>1</v>
      </c>
      <c r="D50" s="7" t="s">
        <v>242</v>
      </c>
      <c r="E50" s="8" t="s">
        <v>243</v>
      </c>
    </row>
    <row r="51" spans="1:5" ht="25.5" x14ac:dyDescent="0.25">
      <c r="A51" s="7" t="s">
        <v>318</v>
      </c>
      <c r="B51" s="7" t="s">
        <v>319</v>
      </c>
      <c r="C51" s="9">
        <v>1</v>
      </c>
      <c r="D51" s="7" t="s">
        <v>242</v>
      </c>
      <c r="E51" s="8" t="s">
        <v>243</v>
      </c>
    </row>
    <row r="52" spans="1:5" ht="25.5" x14ac:dyDescent="0.25">
      <c r="A52" s="7" t="s">
        <v>320</v>
      </c>
      <c r="B52" s="7" t="s">
        <v>321</v>
      </c>
      <c r="C52" s="9">
        <v>1</v>
      </c>
      <c r="D52" s="7" t="s">
        <v>242</v>
      </c>
      <c r="E52" s="8" t="s">
        <v>243</v>
      </c>
    </row>
    <row r="53" spans="1:5" ht="25.5" x14ac:dyDescent="0.25">
      <c r="A53" s="7" t="s">
        <v>322</v>
      </c>
      <c r="B53" s="7" t="s">
        <v>323</v>
      </c>
      <c r="C53" s="9">
        <v>1</v>
      </c>
      <c r="D53" s="7" t="s">
        <v>282</v>
      </c>
      <c r="E53" s="8" t="s">
        <v>283</v>
      </c>
    </row>
    <row r="54" spans="1:5" ht="25.5" x14ac:dyDescent="0.25">
      <c r="A54" s="7" t="s">
        <v>324</v>
      </c>
      <c r="B54" s="7" t="s">
        <v>325</v>
      </c>
      <c r="C54" s="9">
        <v>1</v>
      </c>
      <c r="D54" s="7" t="s">
        <v>282</v>
      </c>
      <c r="E54" s="8" t="s">
        <v>283</v>
      </c>
    </row>
    <row r="55" spans="1:5" ht="25.5" x14ac:dyDescent="0.25">
      <c r="A55" s="7" t="s">
        <v>326</v>
      </c>
      <c r="B55" s="7" t="s">
        <v>327</v>
      </c>
      <c r="C55" s="9">
        <v>1</v>
      </c>
      <c r="D55" s="7" t="s">
        <v>242</v>
      </c>
      <c r="E55" s="8" t="s">
        <v>243</v>
      </c>
    </row>
    <row r="56" spans="1:5" ht="25.5" x14ac:dyDescent="0.25">
      <c r="A56" s="7" t="s">
        <v>328</v>
      </c>
      <c r="B56" s="7" t="s">
        <v>329</v>
      </c>
      <c r="C56" s="9">
        <v>1</v>
      </c>
      <c r="D56" s="7" t="s">
        <v>242</v>
      </c>
      <c r="E56" s="8" t="s">
        <v>243</v>
      </c>
    </row>
    <row r="57" spans="1:5" ht="25.5" x14ac:dyDescent="0.25">
      <c r="A57" s="7" t="s">
        <v>330</v>
      </c>
      <c r="B57" s="7" t="s">
        <v>331</v>
      </c>
      <c r="C57" s="9">
        <v>1</v>
      </c>
      <c r="D57" s="7" t="s">
        <v>242</v>
      </c>
      <c r="E57" s="8" t="s">
        <v>243</v>
      </c>
    </row>
    <row r="58" spans="1:5" ht="25.5" x14ac:dyDescent="0.25">
      <c r="A58" s="7" t="s">
        <v>332</v>
      </c>
      <c r="B58" s="7" t="s">
        <v>333</v>
      </c>
      <c r="C58" s="9">
        <v>1</v>
      </c>
      <c r="D58" s="7" t="s">
        <v>282</v>
      </c>
      <c r="E58" s="8" t="s">
        <v>283</v>
      </c>
    </row>
    <row r="59" spans="1:5" ht="25.5" x14ac:dyDescent="0.25">
      <c r="A59" s="7" t="s">
        <v>334</v>
      </c>
      <c r="B59" s="7" t="s">
        <v>335</v>
      </c>
      <c r="C59" s="9">
        <v>1</v>
      </c>
      <c r="D59" s="7" t="s">
        <v>242</v>
      </c>
      <c r="E59" s="8" t="s">
        <v>243</v>
      </c>
    </row>
    <row r="60" spans="1:5" ht="25.5" x14ac:dyDescent="0.25">
      <c r="A60" s="7" t="s">
        <v>336</v>
      </c>
      <c r="B60" s="7" t="s">
        <v>337</v>
      </c>
      <c r="C60" s="9">
        <v>1</v>
      </c>
      <c r="D60" s="7" t="s">
        <v>242</v>
      </c>
      <c r="E60" s="8" t="s">
        <v>243</v>
      </c>
    </row>
    <row r="61" spans="1:5" ht="25.5" x14ac:dyDescent="0.25">
      <c r="A61" s="7" t="s">
        <v>338</v>
      </c>
      <c r="B61" s="7" t="s">
        <v>339</v>
      </c>
      <c r="C61" s="9">
        <v>1</v>
      </c>
      <c r="D61" s="7" t="s">
        <v>256</v>
      </c>
      <c r="E61" s="8" t="s">
        <v>257</v>
      </c>
    </row>
    <row r="62" spans="1:5" ht="25.5" x14ac:dyDescent="0.25">
      <c r="A62" s="7" t="s">
        <v>340</v>
      </c>
      <c r="B62" s="7" t="s">
        <v>341</v>
      </c>
      <c r="C62" s="9">
        <v>1</v>
      </c>
      <c r="D62" s="7" t="s">
        <v>242</v>
      </c>
      <c r="E62" s="8" t="s">
        <v>243</v>
      </c>
    </row>
    <row r="63" spans="1:5" ht="25.5" x14ac:dyDescent="0.25">
      <c r="A63" s="7" t="s">
        <v>342</v>
      </c>
      <c r="B63" s="7" t="s">
        <v>343</v>
      </c>
      <c r="C63" s="9">
        <v>1</v>
      </c>
      <c r="D63" s="7" t="s">
        <v>344</v>
      </c>
      <c r="E63" s="8" t="s">
        <v>345</v>
      </c>
    </row>
    <row r="64" spans="1:5" ht="25.5" x14ac:dyDescent="0.25">
      <c r="A64" s="7" t="s">
        <v>346</v>
      </c>
      <c r="B64" s="7" t="s">
        <v>347</v>
      </c>
      <c r="C64" s="9">
        <v>1</v>
      </c>
      <c r="D64" s="7" t="s">
        <v>256</v>
      </c>
      <c r="E64" s="8" t="s">
        <v>257</v>
      </c>
    </row>
    <row r="65" spans="1:5" ht="25.5" x14ac:dyDescent="0.25">
      <c r="A65" s="7" t="s">
        <v>348</v>
      </c>
      <c r="B65" s="7" t="s">
        <v>349</v>
      </c>
      <c r="C65" s="9">
        <v>1</v>
      </c>
      <c r="D65" s="7" t="s">
        <v>344</v>
      </c>
      <c r="E65" s="8" t="s">
        <v>345</v>
      </c>
    </row>
    <row r="66" spans="1:5" ht="25.5" x14ac:dyDescent="0.25">
      <c r="A66" s="7" t="s">
        <v>350</v>
      </c>
      <c r="B66" s="7" t="s">
        <v>351</v>
      </c>
      <c r="C66" s="9">
        <v>1</v>
      </c>
      <c r="D66" s="7" t="s">
        <v>242</v>
      </c>
      <c r="E66" s="8" t="s">
        <v>243</v>
      </c>
    </row>
    <row r="67" spans="1:5" ht="25.5" x14ac:dyDescent="0.25">
      <c r="A67" s="7" t="s">
        <v>352</v>
      </c>
      <c r="B67" s="7" t="s">
        <v>353</v>
      </c>
      <c r="C67" s="9">
        <v>1</v>
      </c>
      <c r="D67" s="7" t="s">
        <v>242</v>
      </c>
      <c r="E67" s="8" t="s">
        <v>243</v>
      </c>
    </row>
    <row r="68" spans="1:5" ht="25.5" x14ac:dyDescent="0.25">
      <c r="A68" s="7" t="s">
        <v>354</v>
      </c>
      <c r="B68" s="7" t="s">
        <v>355</v>
      </c>
      <c r="C68" s="9">
        <v>1</v>
      </c>
      <c r="D68" s="7" t="s">
        <v>242</v>
      </c>
      <c r="E68" s="8" t="s">
        <v>243</v>
      </c>
    </row>
    <row r="69" spans="1:5" ht="25.5" x14ac:dyDescent="0.25">
      <c r="A69" s="7" t="s">
        <v>356</v>
      </c>
      <c r="B69" s="7" t="s">
        <v>357</v>
      </c>
      <c r="C69" s="9">
        <v>1</v>
      </c>
      <c r="D69" s="7" t="s">
        <v>282</v>
      </c>
      <c r="E69" s="8" t="s">
        <v>283</v>
      </c>
    </row>
    <row r="70" spans="1:5" ht="25.5" x14ac:dyDescent="0.25">
      <c r="A70" s="7" t="s">
        <v>358</v>
      </c>
      <c r="B70" s="7" t="s">
        <v>359</v>
      </c>
      <c r="C70" s="9">
        <v>1</v>
      </c>
      <c r="D70" s="7" t="s">
        <v>282</v>
      </c>
      <c r="E70" s="8" t="s">
        <v>283</v>
      </c>
    </row>
    <row r="71" spans="1:5" ht="25.5" x14ac:dyDescent="0.25">
      <c r="A71" s="7" t="s">
        <v>360</v>
      </c>
      <c r="B71" s="7" t="s">
        <v>361</v>
      </c>
      <c r="C71" s="9">
        <v>1</v>
      </c>
      <c r="D71" s="7" t="s">
        <v>282</v>
      </c>
      <c r="E71" s="8" t="s">
        <v>283</v>
      </c>
    </row>
    <row r="72" spans="1:5" ht="25.5" x14ac:dyDescent="0.25">
      <c r="A72" s="7" t="s">
        <v>362</v>
      </c>
      <c r="B72" s="7" t="s">
        <v>363</v>
      </c>
      <c r="C72" s="9">
        <v>1</v>
      </c>
      <c r="D72" s="7" t="s">
        <v>282</v>
      </c>
      <c r="E72" s="8" t="s">
        <v>283</v>
      </c>
    </row>
    <row r="73" spans="1:5" ht="25.5" x14ac:dyDescent="0.25">
      <c r="A73" s="7" t="s">
        <v>364</v>
      </c>
      <c r="B73" s="7" t="s">
        <v>365</v>
      </c>
      <c r="C73" s="9">
        <v>1</v>
      </c>
      <c r="D73" s="7" t="s">
        <v>242</v>
      </c>
      <c r="E73" s="8" t="s">
        <v>243</v>
      </c>
    </row>
    <row r="74" spans="1:5" x14ac:dyDescent="0.25">
      <c r="A74" s="7" t="s">
        <v>366</v>
      </c>
      <c r="B74" s="7" t="s">
        <v>367</v>
      </c>
      <c r="C74" s="9">
        <v>1</v>
      </c>
      <c r="D74" s="7" t="s">
        <v>368</v>
      </c>
      <c r="E74" s="8" t="s">
        <v>369</v>
      </c>
    </row>
    <row r="75" spans="1:5" x14ac:dyDescent="0.25">
      <c r="A75" s="7" t="s">
        <v>370</v>
      </c>
      <c r="B75" s="7" t="s">
        <v>371</v>
      </c>
      <c r="C75" s="9">
        <v>16</v>
      </c>
      <c r="D75" s="7" t="s">
        <v>372</v>
      </c>
      <c r="E75" s="8" t="s">
        <v>373</v>
      </c>
    </row>
    <row r="76" spans="1:5" x14ac:dyDescent="0.25">
      <c r="A76" s="7" t="s">
        <v>374</v>
      </c>
      <c r="B76" s="7" t="s">
        <v>375</v>
      </c>
      <c r="C76" s="9">
        <v>9</v>
      </c>
      <c r="D76" s="7" t="s">
        <v>372</v>
      </c>
      <c r="E76" s="8" t="s">
        <v>373</v>
      </c>
    </row>
    <row r="77" spans="1:5" x14ac:dyDescent="0.25">
      <c r="A77" s="7" t="s">
        <v>376</v>
      </c>
      <c r="B77" s="7" t="s">
        <v>377</v>
      </c>
      <c r="C77" s="9">
        <v>1</v>
      </c>
      <c r="D77" s="7" t="s">
        <v>372</v>
      </c>
      <c r="E77" s="8" t="s">
        <v>373</v>
      </c>
    </row>
    <row r="78" spans="1:5" x14ac:dyDescent="0.25">
      <c r="A78" s="7" t="s">
        <v>378</v>
      </c>
      <c r="B78" s="7" t="s">
        <v>379</v>
      </c>
      <c r="C78" s="9">
        <v>2</v>
      </c>
      <c r="D78" s="7" t="s">
        <v>372</v>
      </c>
      <c r="E78" s="8" t="s">
        <v>373</v>
      </c>
    </row>
    <row r="79" spans="1:5" x14ac:dyDescent="0.25">
      <c r="A79" s="7" t="s">
        <v>380</v>
      </c>
      <c r="B79" s="7" t="s">
        <v>381</v>
      </c>
      <c r="C79" s="9">
        <v>1</v>
      </c>
      <c r="D79" s="7" t="s">
        <v>372</v>
      </c>
      <c r="E79" s="8" t="s">
        <v>373</v>
      </c>
    </row>
    <row r="80" spans="1:5" x14ac:dyDescent="0.25">
      <c r="A80" s="7" t="s">
        <v>382</v>
      </c>
      <c r="B80" s="7" t="s">
        <v>383</v>
      </c>
      <c r="C80" s="9">
        <v>2</v>
      </c>
      <c r="D80" s="7" t="s">
        <v>372</v>
      </c>
      <c r="E80" s="8" t="s">
        <v>373</v>
      </c>
    </row>
    <row r="81" spans="1:5" x14ac:dyDescent="0.25">
      <c r="A81" s="7" t="s">
        <v>384</v>
      </c>
      <c r="B81" s="7" t="s">
        <v>385</v>
      </c>
      <c r="C81" s="9">
        <v>1</v>
      </c>
      <c r="D81" s="7" t="s">
        <v>372</v>
      </c>
      <c r="E81" s="8" t="s">
        <v>373</v>
      </c>
    </row>
    <row r="82" spans="1:5" ht="25.5" x14ac:dyDescent="0.25">
      <c r="A82" s="7" t="s">
        <v>386</v>
      </c>
      <c r="B82" s="7" t="s">
        <v>387</v>
      </c>
      <c r="C82" s="9">
        <v>1</v>
      </c>
      <c r="D82" s="7" t="s">
        <v>388</v>
      </c>
      <c r="E82" s="8" t="s">
        <v>389</v>
      </c>
    </row>
    <row r="83" spans="1:5" ht="25.5" x14ac:dyDescent="0.25">
      <c r="A83" s="7" t="s">
        <v>390</v>
      </c>
      <c r="B83" s="7" t="s">
        <v>52</v>
      </c>
      <c r="C83" s="9">
        <v>4</v>
      </c>
      <c r="D83" s="7" t="s">
        <v>391</v>
      </c>
      <c r="E83" s="8" t="s">
        <v>392</v>
      </c>
    </row>
    <row r="84" spans="1:5" x14ac:dyDescent="0.25">
      <c r="A84" s="7" t="s">
        <v>393</v>
      </c>
      <c r="B84" s="7" t="s">
        <v>394</v>
      </c>
      <c r="C84" s="9">
        <v>1</v>
      </c>
      <c r="D84" s="7" t="s">
        <v>395</v>
      </c>
      <c r="E84" s="8" t="s">
        <v>396</v>
      </c>
    </row>
    <row r="85" spans="1:5" x14ac:dyDescent="0.25">
      <c r="A85" s="7" t="s">
        <v>397</v>
      </c>
      <c r="B85" s="7" t="s">
        <v>22</v>
      </c>
      <c r="C85" s="9">
        <v>1</v>
      </c>
      <c r="D85" s="7" t="s">
        <v>398</v>
      </c>
      <c r="E85" s="8" t="s">
        <v>399</v>
      </c>
    </row>
    <row r="86" spans="1:5" x14ac:dyDescent="0.25">
      <c r="A86" s="7" t="s">
        <v>400</v>
      </c>
      <c r="B86" s="7" t="s">
        <v>56</v>
      </c>
      <c r="C86" s="9">
        <v>1</v>
      </c>
      <c r="D86" s="7" t="s">
        <v>401</v>
      </c>
      <c r="E86" s="8" t="s">
        <v>402</v>
      </c>
    </row>
    <row r="87" spans="1:5" ht="25.5" x14ac:dyDescent="0.25">
      <c r="A87" s="7" t="s">
        <v>403</v>
      </c>
      <c r="B87" s="7" t="s">
        <v>404</v>
      </c>
      <c r="C87" s="9">
        <v>1</v>
      </c>
      <c r="D87" s="7" t="s">
        <v>405</v>
      </c>
      <c r="E87" s="8" t="s">
        <v>406</v>
      </c>
    </row>
    <row r="88" spans="1:5" x14ac:dyDescent="0.25">
      <c r="A88" s="7" t="s">
        <v>407</v>
      </c>
      <c r="B88" s="7" t="s">
        <v>408</v>
      </c>
      <c r="C88" s="9">
        <v>1</v>
      </c>
      <c r="D88" s="7" t="s">
        <v>409</v>
      </c>
      <c r="E88" s="8" t="s">
        <v>410</v>
      </c>
    </row>
    <row r="89" spans="1:5" x14ac:dyDescent="0.25">
      <c r="A89" s="7" t="s">
        <v>411</v>
      </c>
      <c r="B89" s="7" t="s">
        <v>412</v>
      </c>
      <c r="C89" s="9">
        <v>1</v>
      </c>
      <c r="D89" s="7" t="s">
        <v>409</v>
      </c>
      <c r="E89" s="8" t="s">
        <v>410</v>
      </c>
    </row>
    <row r="90" spans="1:5" x14ac:dyDescent="0.25">
      <c r="B90" s="3" t="s">
        <v>413</v>
      </c>
      <c r="C90" s="12">
        <f>SUM(C4:C89)</f>
        <v>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34" customWidth="1"/>
    <col min="2" max="2" width="26" customWidth="1"/>
    <col min="3" max="3" width="14" customWidth="1"/>
    <col min="4" max="4" width="58" customWidth="1"/>
    <col min="5" max="5" width="60" customWidth="1"/>
  </cols>
  <sheetData>
    <row r="1" spans="1:5" ht="15.75" x14ac:dyDescent="0.25">
      <c r="A1" s="13" t="s">
        <v>414</v>
      </c>
    </row>
    <row r="3" spans="1:5" ht="25.5" x14ac:dyDescent="0.25">
      <c r="A3" s="5" t="s">
        <v>203</v>
      </c>
      <c r="B3" s="5" t="s">
        <v>204</v>
      </c>
      <c r="C3" s="5" t="s">
        <v>205</v>
      </c>
      <c r="D3" s="5" t="s">
        <v>206</v>
      </c>
      <c r="E3" s="5" t="s">
        <v>207</v>
      </c>
    </row>
    <row r="4" spans="1:5" x14ac:dyDescent="0.25">
      <c r="A4" s="7" t="s">
        <v>415</v>
      </c>
      <c r="B4" s="7" t="s">
        <v>416</v>
      </c>
      <c r="C4" s="9">
        <v>1</v>
      </c>
      <c r="D4" s="7" t="s">
        <v>417</v>
      </c>
      <c r="E4" s="8" t="s">
        <v>219</v>
      </c>
    </row>
    <row r="5" spans="1:5" x14ac:dyDescent="0.25">
      <c r="A5" s="7" t="s">
        <v>418</v>
      </c>
      <c r="B5" s="7" t="s">
        <v>419</v>
      </c>
      <c r="C5" s="9">
        <v>1</v>
      </c>
      <c r="D5" s="7" t="s">
        <v>417</v>
      </c>
      <c r="E5" s="8" t="s">
        <v>219</v>
      </c>
    </row>
    <row r="6" spans="1:5" x14ac:dyDescent="0.25">
      <c r="A6" s="7" t="s">
        <v>420</v>
      </c>
      <c r="B6" s="7" t="s">
        <v>221</v>
      </c>
      <c r="C6" s="9">
        <v>1</v>
      </c>
      <c r="D6" s="7" t="s">
        <v>417</v>
      </c>
      <c r="E6" s="8" t="s">
        <v>219</v>
      </c>
    </row>
    <row r="7" spans="1:5" x14ac:dyDescent="0.25">
      <c r="A7" s="7" t="s">
        <v>421</v>
      </c>
      <c r="B7" s="7" t="s">
        <v>209</v>
      </c>
      <c r="C7" s="9">
        <v>2</v>
      </c>
      <c r="D7" s="7" t="s">
        <v>210</v>
      </c>
      <c r="E7" s="8" t="s">
        <v>211</v>
      </c>
    </row>
    <row r="8" spans="1:5" x14ac:dyDescent="0.25">
      <c r="A8" s="7" t="s">
        <v>422</v>
      </c>
      <c r="B8" s="7" t="s">
        <v>217</v>
      </c>
      <c r="C8" s="9">
        <v>2</v>
      </c>
      <c r="D8" s="7" t="s">
        <v>417</v>
      </c>
      <c r="E8" s="8" t="s">
        <v>219</v>
      </c>
    </row>
    <row r="9" spans="1:5" x14ac:dyDescent="0.25">
      <c r="A9" s="7" t="s">
        <v>222</v>
      </c>
      <c r="B9" s="7" t="s">
        <v>29</v>
      </c>
      <c r="C9" s="9">
        <v>1</v>
      </c>
      <c r="D9" s="7" t="s">
        <v>423</v>
      </c>
      <c r="E9" s="8" t="s">
        <v>424</v>
      </c>
    </row>
    <row r="10" spans="1:5" x14ac:dyDescent="0.25">
      <c r="A10" s="7" t="s">
        <v>425</v>
      </c>
      <c r="B10" s="7" t="s">
        <v>29</v>
      </c>
      <c r="C10" s="9">
        <v>1</v>
      </c>
      <c r="D10" s="7" t="s">
        <v>426</v>
      </c>
      <c r="E10" s="8" t="s">
        <v>424</v>
      </c>
    </row>
    <row r="11" spans="1:5" x14ac:dyDescent="0.25">
      <c r="A11" s="7" t="s">
        <v>427</v>
      </c>
      <c r="B11" s="7" t="s">
        <v>428</v>
      </c>
      <c r="C11" s="9">
        <v>1</v>
      </c>
      <c r="D11" s="7" t="s">
        <v>429</v>
      </c>
      <c r="E11" s="8" t="s">
        <v>430</v>
      </c>
    </row>
    <row r="12" spans="1:5" x14ac:dyDescent="0.25">
      <c r="A12" s="7" t="s">
        <v>431</v>
      </c>
      <c r="B12" s="7" t="s">
        <v>432</v>
      </c>
      <c r="C12" s="9">
        <v>1</v>
      </c>
      <c r="D12" s="7" t="s">
        <v>433</v>
      </c>
      <c r="E12" s="8" t="s">
        <v>430</v>
      </c>
    </row>
    <row r="13" spans="1:5" x14ac:dyDescent="0.25">
      <c r="A13" s="7" t="s">
        <v>434</v>
      </c>
      <c r="B13" s="7" t="s">
        <v>435</v>
      </c>
      <c r="C13" s="9">
        <v>5</v>
      </c>
      <c r="D13" s="7" t="s">
        <v>260</v>
      </c>
      <c r="E13" s="8" t="s">
        <v>436</v>
      </c>
    </row>
    <row r="14" spans="1:5" x14ac:dyDescent="0.25">
      <c r="A14" s="7" t="s">
        <v>437</v>
      </c>
      <c r="B14" s="7" t="s">
        <v>438</v>
      </c>
      <c r="C14" s="9">
        <v>1</v>
      </c>
      <c r="D14" s="7" t="s">
        <v>439</v>
      </c>
      <c r="E14" s="8" t="s">
        <v>440</v>
      </c>
    </row>
    <row r="15" spans="1:5" x14ac:dyDescent="0.25">
      <c r="A15" s="7" t="s">
        <v>441</v>
      </c>
      <c r="B15" s="7" t="s">
        <v>442</v>
      </c>
      <c r="C15" s="9">
        <v>3</v>
      </c>
      <c r="D15" s="7" t="s">
        <v>443</v>
      </c>
      <c r="E15" s="8" t="s">
        <v>444</v>
      </c>
    </row>
    <row r="16" spans="1:5" x14ac:dyDescent="0.25">
      <c r="A16" s="7" t="s">
        <v>445</v>
      </c>
      <c r="B16" s="7" t="s">
        <v>446</v>
      </c>
      <c r="C16" s="9">
        <v>3</v>
      </c>
      <c r="D16" s="7" t="s">
        <v>372</v>
      </c>
      <c r="E16" s="8" t="s">
        <v>373</v>
      </c>
    </row>
    <row r="17" spans="1:5" x14ac:dyDescent="0.25">
      <c r="A17" s="7" t="s">
        <v>447</v>
      </c>
      <c r="B17" s="7" t="s">
        <v>60</v>
      </c>
      <c r="C17" s="9">
        <v>1</v>
      </c>
      <c r="D17" s="7" t="s">
        <v>448</v>
      </c>
      <c r="E17" s="8" t="s">
        <v>449</v>
      </c>
    </row>
    <row r="18" spans="1:5" x14ac:dyDescent="0.25">
      <c r="A18" s="7" t="s">
        <v>450</v>
      </c>
      <c r="B18" s="7" t="s">
        <v>451</v>
      </c>
      <c r="C18" s="9">
        <v>1</v>
      </c>
      <c r="D18" s="7" t="s">
        <v>452</v>
      </c>
      <c r="E18" s="8" t="s">
        <v>453</v>
      </c>
    </row>
    <row r="19" spans="1:5" x14ac:dyDescent="0.25">
      <c r="B19" s="3" t="s">
        <v>413</v>
      </c>
      <c r="C19" s="12">
        <f>SUM(C4:C18)</f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34" customWidth="1"/>
    <col min="2" max="2" width="26" customWidth="1"/>
    <col min="3" max="3" width="14" customWidth="1"/>
    <col min="4" max="4" width="58" customWidth="1"/>
    <col min="5" max="5" width="60" customWidth="1"/>
  </cols>
  <sheetData>
    <row r="1" spans="1:5" ht="15.75" x14ac:dyDescent="0.25">
      <c r="A1" s="13" t="s">
        <v>454</v>
      </c>
    </row>
    <row r="3" spans="1:5" ht="25.5" x14ac:dyDescent="0.25">
      <c r="A3" s="5" t="s">
        <v>203</v>
      </c>
      <c r="B3" s="5" t="s">
        <v>204</v>
      </c>
      <c r="C3" s="5" t="s">
        <v>205</v>
      </c>
      <c r="D3" s="5" t="s">
        <v>206</v>
      </c>
      <c r="E3" s="5" t="s">
        <v>207</v>
      </c>
    </row>
    <row r="4" spans="1:5" x14ac:dyDescent="0.25">
      <c r="A4" s="7" t="s">
        <v>415</v>
      </c>
      <c r="B4" s="7" t="s">
        <v>455</v>
      </c>
      <c r="C4" s="9">
        <v>1</v>
      </c>
      <c r="D4" s="7" t="s">
        <v>456</v>
      </c>
      <c r="E4" s="8"/>
    </row>
    <row r="5" spans="1:5" x14ac:dyDescent="0.25">
      <c r="A5" s="7" t="s">
        <v>418</v>
      </c>
      <c r="B5" s="7" t="s">
        <v>457</v>
      </c>
      <c r="C5" s="9">
        <v>1</v>
      </c>
      <c r="D5" s="7" t="s">
        <v>456</v>
      </c>
      <c r="E5" s="8"/>
    </row>
    <row r="6" spans="1:5" x14ac:dyDescent="0.25">
      <c r="A6" s="7" t="s">
        <v>458</v>
      </c>
      <c r="B6" s="7" t="s">
        <v>209</v>
      </c>
      <c r="C6" s="9">
        <v>1</v>
      </c>
      <c r="D6" s="7" t="s">
        <v>456</v>
      </c>
      <c r="E6" s="8"/>
    </row>
    <row r="7" spans="1:5" x14ac:dyDescent="0.25">
      <c r="A7" s="7" t="s">
        <v>420</v>
      </c>
      <c r="B7" s="7" t="s">
        <v>213</v>
      </c>
      <c r="C7" s="9">
        <v>1</v>
      </c>
      <c r="D7" s="7" t="s">
        <v>456</v>
      </c>
      <c r="E7" s="8"/>
    </row>
    <row r="8" spans="1:5" x14ac:dyDescent="0.25">
      <c r="A8" s="7" t="s">
        <v>459</v>
      </c>
      <c r="B8" s="7" t="s">
        <v>35</v>
      </c>
      <c r="C8" s="9">
        <v>2</v>
      </c>
      <c r="D8" s="7" t="s">
        <v>460</v>
      </c>
      <c r="E8" s="8"/>
    </row>
    <row r="9" spans="1:5" x14ac:dyDescent="0.25">
      <c r="A9" s="7" t="s">
        <v>461</v>
      </c>
      <c r="B9" s="7" t="s">
        <v>462</v>
      </c>
      <c r="C9" s="9">
        <v>3</v>
      </c>
      <c r="D9" s="7" t="s">
        <v>260</v>
      </c>
      <c r="E9" s="8"/>
    </row>
    <row r="10" spans="1:5" x14ac:dyDescent="0.25">
      <c r="A10" s="7" t="s">
        <v>298</v>
      </c>
      <c r="B10" s="7" t="s">
        <v>463</v>
      </c>
      <c r="C10" s="9">
        <v>1</v>
      </c>
      <c r="D10" s="7" t="s">
        <v>242</v>
      </c>
      <c r="E10" s="8"/>
    </row>
    <row r="11" spans="1:5" x14ac:dyDescent="0.25">
      <c r="A11" s="7" t="s">
        <v>300</v>
      </c>
      <c r="B11" s="7" t="s">
        <v>464</v>
      </c>
      <c r="C11" s="9">
        <v>1</v>
      </c>
      <c r="D11" s="7" t="s">
        <v>260</v>
      </c>
      <c r="E11" s="8"/>
    </row>
    <row r="12" spans="1:5" x14ac:dyDescent="0.25">
      <c r="A12" s="7" t="s">
        <v>465</v>
      </c>
      <c r="B12" s="7" t="s">
        <v>39</v>
      </c>
      <c r="C12" s="9">
        <v>1</v>
      </c>
      <c r="D12" s="7" t="s">
        <v>466</v>
      </c>
      <c r="E12" s="8"/>
    </row>
    <row r="13" spans="1:5" x14ac:dyDescent="0.25">
      <c r="A13" s="7" t="s">
        <v>467</v>
      </c>
      <c r="B13" s="7" t="s">
        <v>379</v>
      </c>
      <c r="C13" s="9">
        <v>1</v>
      </c>
      <c r="D13" s="7" t="s">
        <v>468</v>
      </c>
      <c r="E13" s="8"/>
    </row>
    <row r="14" spans="1:5" x14ac:dyDescent="0.25">
      <c r="A14" s="7" t="s">
        <v>469</v>
      </c>
      <c r="B14" s="7" t="s">
        <v>470</v>
      </c>
      <c r="C14" s="9">
        <v>1</v>
      </c>
      <c r="D14" s="7" t="s">
        <v>468</v>
      </c>
      <c r="E14" s="8"/>
    </row>
    <row r="15" spans="1:5" x14ac:dyDescent="0.25">
      <c r="A15" s="7" t="s">
        <v>447</v>
      </c>
      <c r="B15" s="7" t="s">
        <v>73</v>
      </c>
      <c r="C15" s="9">
        <v>1</v>
      </c>
      <c r="D15" s="7" t="s">
        <v>471</v>
      </c>
      <c r="E15" s="8" t="s">
        <v>472</v>
      </c>
    </row>
    <row r="16" spans="1:5" x14ac:dyDescent="0.25">
      <c r="B16" s="3" t="s">
        <v>413</v>
      </c>
      <c r="C16" s="12">
        <f>SUM(C4:C15)</f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34" customWidth="1"/>
    <col min="2" max="2" width="26" customWidth="1"/>
    <col min="3" max="3" width="14" customWidth="1"/>
    <col min="4" max="4" width="58" customWidth="1"/>
    <col min="5" max="5" width="60" customWidth="1"/>
  </cols>
  <sheetData>
    <row r="1" spans="1:5" ht="15.75" x14ac:dyDescent="0.25">
      <c r="A1" s="13" t="s">
        <v>473</v>
      </c>
    </row>
    <row r="3" spans="1:5" ht="25.5" x14ac:dyDescent="0.25">
      <c r="A3" s="5" t="s">
        <v>203</v>
      </c>
      <c r="B3" s="5" t="s">
        <v>204</v>
      </c>
      <c r="C3" s="5" t="s">
        <v>205</v>
      </c>
      <c r="D3" s="5" t="s">
        <v>206</v>
      </c>
      <c r="E3" s="5" t="s">
        <v>207</v>
      </c>
    </row>
    <row r="4" spans="1:5" ht="38.25" x14ac:dyDescent="0.25">
      <c r="A4" s="7" t="s">
        <v>474</v>
      </c>
      <c r="B4" s="7" t="s">
        <v>475</v>
      </c>
      <c r="C4" s="9">
        <v>2</v>
      </c>
      <c r="D4" s="7" t="s">
        <v>476</v>
      </c>
      <c r="E4" s="8" t="s">
        <v>477</v>
      </c>
    </row>
    <row r="5" spans="1:5" ht="25.5" x14ac:dyDescent="0.25">
      <c r="A5" s="7" t="s">
        <v>252</v>
      </c>
      <c r="B5" s="7" t="s">
        <v>462</v>
      </c>
      <c r="C5" s="9">
        <v>1</v>
      </c>
      <c r="D5" s="7" t="s">
        <v>260</v>
      </c>
      <c r="E5" s="8" t="s">
        <v>478</v>
      </c>
    </row>
    <row r="6" spans="1:5" x14ac:dyDescent="0.25">
      <c r="B6" s="3" t="s">
        <v>413</v>
      </c>
      <c r="C6" s="12">
        <f>SUM(C4:C5)</f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34" customWidth="1"/>
    <col min="2" max="2" width="26" customWidth="1"/>
    <col min="3" max="3" width="14" customWidth="1"/>
    <col min="4" max="4" width="58" customWidth="1"/>
    <col min="5" max="5" width="60" customWidth="1"/>
  </cols>
  <sheetData>
    <row r="1" spans="1:5" ht="15.75" x14ac:dyDescent="0.25">
      <c r="A1" s="13" t="s">
        <v>479</v>
      </c>
    </row>
    <row r="3" spans="1:5" ht="25.5" x14ac:dyDescent="0.25">
      <c r="A3" s="5" t="s">
        <v>203</v>
      </c>
      <c r="B3" s="5" t="s">
        <v>204</v>
      </c>
      <c r="C3" s="5" t="s">
        <v>205</v>
      </c>
      <c r="D3" s="5" t="s">
        <v>206</v>
      </c>
      <c r="E3" s="5" t="s">
        <v>207</v>
      </c>
    </row>
    <row r="4" spans="1:5" x14ac:dyDescent="0.25">
      <c r="A4" s="7" t="s">
        <v>480</v>
      </c>
      <c r="B4" s="7" t="s">
        <v>153</v>
      </c>
      <c r="C4" s="9">
        <v>2</v>
      </c>
      <c r="D4" s="7" t="s">
        <v>224</v>
      </c>
      <c r="E4" s="8"/>
    </row>
    <row r="5" spans="1:5" x14ac:dyDescent="0.25">
      <c r="A5" s="7" t="s">
        <v>228</v>
      </c>
      <c r="B5" s="7" t="s">
        <v>481</v>
      </c>
      <c r="C5" s="9">
        <v>1</v>
      </c>
      <c r="D5" s="7" t="s">
        <v>242</v>
      </c>
      <c r="E5" s="8"/>
    </row>
    <row r="6" spans="1:5" x14ac:dyDescent="0.25">
      <c r="A6" s="7" t="s">
        <v>232</v>
      </c>
      <c r="B6" s="7" t="s">
        <v>482</v>
      </c>
      <c r="C6" s="9">
        <v>1</v>
      </c>
      <c r="D6" s="7" t="s">
        <v>282</v>
      </c>
      <c r="E6" s="8"/>
    </row>
    <row r="7" spans="1:5" x14ac:dyDescent="0.25">
      <c r="A7" s="7" t="s">
        <v>483</v>
      </c>
      <c r="B7" s="7" t="s">
        <v>377</v>
      </c>
      <c r="C7" s="9">
        <v>1</v>
      </c>
      <c r="D7" s="7" t="s">
        <v>372</v>
      </c>
      <c r="E7" s="8"/>
    </row>
    <row r="8" spans="1:5" x14ac:dyDescent="0.25">
      <c r="A8" s="7" t="s">
        <v>484</v>
      </c>
      <c r="B8" s="7" t="s">
        <v>485</v>
      </c>
      <c r="C8" s="9">
        <v>1</v>
      </c>
      <c r="D8" s="7" t="s">
        <v>372</v>
      </c>
      <c r="E8" s="8"/>
    </row>
    <row r="9" spans="1:5" x14ac:dyDescent="0.25">
      <c r="A9" s="7" t="s">
        <v>486</v>
      </c>
      <c r="B9" s="7" t="s">
        <v>170</v>
      </c>
      <c r="C9" s="9">
        <v>1</v>
      </c>
      <c r="D9" s="7" t="s">
        <v>487</v>
      </c>
      <c r="E9" s="8" t="s">
        <v>488</v>
      </c>
    </row>
    <row r="10" spans="1:5" x14ac:dyDescent="0.25">
      <c r="B10" s="3" t="s">
        <v>413</v>
      </c>
      <c r="C10" s="12">
        <f>SUM(C4:C9)</f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34" customWidth="1"/>
    <col min="2" max="2" width="26" customWidth="1"/>
    <col min="3" max="3" width="14" customWidth="1"/>
    <col min="4" max="4" width="58" customWidth="1"/>
    <col min="5" max="5" width="60" customWidth="1"/>
  </cols>
  <sheetData>
    <row r="1" spans="1:5" ht="15.75" x14ac:dyDescent="0.25">
      <c r="A1" s="13" t="s">
        <v>489</v>
      </c>
    </row>
    <row r="3" spans="1:5" ht="25.5" x14ac:dyDescent="0.25">
      <c r="A3" s="5" t="s">
        <v>203</v>
      </c>
      <c r="B3" s="5" t="s">
        <v>204</v>
      </c>
      <c r="C3" s="5" t="s">
        <v>205</v>
      </c>
      <c r="D3" s="5" t="s">
        <v>206</v>
      </c>
      <c r="E3" s="5" t="s">
        <v>207</v>
      </c>
    </row>
    <row r="4" spans="1:5" x14ac:dyDescent="0.25">
      <c r="A4" s="7" t="s">
        <v>480</v>
      </c>
      <c r="B4" s="7" t="s">
        <v>153</v>
      </c>
      <c r="C4" s="9">
        <v>2</v>
      </c>
      <c r="D4" s="7" t="s">
        <v>224</v>
      </c>
      <c r="E4" s="8"/>
    </row>
    <row r="5" spans="1:5" x14ac:dyDescent="0.25">
      <c r="A5" s="7" t="s">
        <v>228</v>
      </c>
      <c r="B5" s="7" t="s">
        <v>481</v>
      </c>
      <c r="C5" s="9">
        <v>1</v>
      </c>
      <c r="D5" s="7" t="s">
        <v>242</v>
      </c>
      <c r="E5" s="8"/>
    </row>
    <row r="6" spans="1:5" x14ac:dyDescent="0.25">
      <c r="A6" s="7" t="s">
        <v>232</v>
      </c>
      <c r="B6" s="7" t="s">
        <v>482</v>
      </c>
      <c r="C6" s="9">
        <v>1</v>
      </c>
      <c r="D6" s="7" t="s">
        <v>282</v>
      </c>
      <c r="E6" s="8"/>
    </row>
    <row r="7" spans="1:5" x14ac:dyDescent="0.25">
      <c r="A7" s="7" t="s">
        <v>483</v>
      </c>
      <c r="B7" s="7" t="s">
        <v>377</v>
      </c>
      <c r="C7" s="9">
        <v>1</v>
      </c>
      <c r="D7" s="7" t="s">
        <v>372</v>
      </c>
      <c r="E7" s="8"/>
    </row>
    <row r="8" spans="1:5" x14ac:dyDescent="0.25">
      <c r="A8" s="7" t="s">
        <v>484</v>
      </c>
      <c r="B8" s="7" t="s">
        <v>485</v>
      </c>
      <c r="C8" s="9">
        <v>1</v>
      </c>
      <c r="D8" s="7" t="s">
        <v>372</v>
      </c>
      <c r="E8" s="8"/>
    </row>
    <row r="9" spans="1:5" x14ac:dyDescent="0.25">
      <c r="A9" s="7" t="s">
        <v>386</v>
      </c>
      <c r="B9" s="7" t="s">
        <v>490</v>
      </c>
      <c r="C9" s="9">
        <v>1</v>
      </c>
      <c r="D9" s="7" t="s">
        <v>491</v>
      </c>
      <c r="E9" s="8" t="s">
        <v>492</v>
      </c>
    </row>
    <row r="10" spans="1:5" x14ac:dyDescent="0.25">
      <c r="B10" s="3" t="s">
        <v>413</v>
      </c>
      <c r="C10" s="12">
        <f>SUM(C4:C9)</f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Lista acquisti</vt:lpstr>
      <vt:lpstr>Mainboard</vt:lpstr>
      <vt:lpstr>PSU</vt:lpstr>
      <vt:lpstr>Dimmer</vt:lpstr>
      <vt:lpstr>LEDModule</vt:lpstr>
      <vt:lpstr>Korry Large</vt:lpstr>
      <vt:lpstr>Korry Small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Stefano Finetti</cp:lastModifiedBy>
  <dcterms:created xsi:type="dcterms:W3CDTF">2026-10-10T09:07:27Z</dcterms:created>
  <dcterms:modified xsi:type="dcterms:W3CDTF">2026-10-10T09:07:38Z</dcterms:modified>
</cp:coreProperties>
</file>